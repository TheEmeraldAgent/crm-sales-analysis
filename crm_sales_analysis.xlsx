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Agent &amp; Manager Pipeline" sheetId="2" state="visible" r:id="rId4"/>
    <sheet name="Product Performance" sheetId="3" state="visible" r:id="rId5"/>
    <sheet name="Monthly Revenue Trend" sheetId="4" state="visible" r:id="rId6"/>
    <sheet name="Data Processing 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<sst xmlns="http://schemas.openxmlformats.org/spreadsheetml/2006/main" count="445" uniqueCount="276">
  <si>
    <t xml:space="preserve">CRM Sales Performance Dashboard</t>
  </si>
  <si>
    <t xml:space="preserve">Maven Analytics CRM Dataset  ·  Oct 2016 – Dec 2017  ·  8,800 Pipeline Records</t>
  </si>
  <si>
    <t xml:space="preserve">KEY PERFORMANCE INDICATORS</t>
  </si>
  <si>
    <t xml:space="preserve">Total Deals</t>
  </si>
  <si>
    <t xml:space="preserve">Deals Won</t>
  </si>
  <si>
    <t xml:space="preserve">Deals Lost</t>
  </si>
  <si>
    <t xml:space="preserve">Win Rate</t>
  </si>
  <si>
    <t xml:space="preserve">Total Revenue</t>
  </si>
  <si>
    <t xml:space="preserve">Avg Deal Value</t>
  </si>
  <si>
    <t xml:space="preserve">Avg Days to Close</t>
  </si>
  <si>
    <t xml:space="preserve">Active Pipeline</t>
  </si>
  <si>
    <t xml:space="preserve">8,800</t>
  </si>
  <si>
    <t xml:space="preserve">4,238</t>
  </si>
  <si>
    <t xml:space="preserve">2,473</t>
  </si>
  <si>
    <t xml:space="preserve">63.2%</t>
  </si>
  <si>
    <t xml:space="preserve">$10,005,534</t>
  </si>
  <si>
    <t xml:space="preserve">$2,361</t>
  </si>
  <si>
    <t xml:space="preserve">51.8 days</t>
  </si>
  <si>
    <t xml:space="preserve">2,089</t>
  </si>
  <si>
    <t xml:space="preserve">All pipeline records</t>
  </si>
  <si>
    <t xml:space="preserve">Closed Won</t>
  </si>
  <si>
    <t xml:space="preserve">Closed Lost</t>
  </si>
  <si>
    <t xml:space="preserve">Won ÷ Closed</t>
  </si>
  <si>
    <t xml:space="preserve">Won deals</t>
  </si>
  <si>
    <t xml:space="preserve">Won deals only</t>
  </si>
  <si>
    <t xml:space="preserve">Engage → Close</t>
  </si>
  <si>
    <t xml:space="preserve">Engaging + Prospecting</t>
  </si>
  <si>
    <t xml:space="preserve">PERFORMANCE BY MANAGER</t>
  </si>
  <si>
    <t xml:space="preserve">Manager</t>
  </si>
  <si>
    <t xml:space="preserve">Region</t>
  </si>
  <si>
    <t xml:space="preserve">Deals Closed</t>
  </si>
  <si>
    <t xml:space="preserve">Rank</t>
  </si>
  <si>
    <t xml:space="preserve">Melvin Marxen</t>
  </si>
  <si>
    <t xml:space="preserve">Central</t>
  </si>
  <si>
    <t xml:space="preserve">Summer Sewald</t>
  </si>
  <si>
    <t xml:space="preserve">West</t>
  </si>
  <si>
    <t xml:space="preserve">Rocco Neubert</t>
  </si>
  <si>
    <t xml:space="preserve">East</t>
  </si>
  <si>
    <t xml:space="preserve">Celia Rouche</t>
  </si>
  <si>
    <t xml:space="preserve">Cara Losch</t>
  </si>
  <si>
    <t xml:space="preserve">Dustin Brinkmann</t>
  </si>
  <si>
    <t xml:space="preserve">Pipeline Performance — By Agent &amp; Manager</t>
  </si>
  <si>
    <t xml:space="preserve">Source: Maven Analytics CRM Sales Opportunities Dataset</t>
  </si>
  <si>
    <t xml:space="preserve">Sales Agent</t>
  </si>
  <si>
    <t xml:space="preserve">Darcel Schlecht</t>
  </si>
  <si>
    <t xml:space="preserve">Vicki Laflamme</t>
  </si>
  <si>
    <t xml:space="preserve">Kary Hendrixson</t>
  </si>
  <si>
    <t xml:space="preserve">Cassey Cress</t>
  </si>
  <si>
    <t xml:space="preserve">Donn Cantrell</t>
  </si>
  <si>
    <t xml:space="preserve">Reed Clapper</t>
  </si>
  <si>
    <t xml:space="preserve">Zane Levy</t>
  </si>
  <si>
    <t xml:space="preserve">Corliss Cosme</t>
  </si>
  <si>
    <t xml:space="preserve">James Ascencio</t>
  </si>
  <si>
    <t xml:space="preserve">Daniell Hammack</t>
  </si>
  <si>
    <t xml:space="preserve">Maureen Marcano</t>
  </si>
  <si>
    <t xml:space="preserve">Gladys Colclough</t>
  </si>
  <si>
    <t xml:space="preserve">Markita Hansen</t>
  </si>
  <si>
    <t xml:space="preserve">Kami Bicknell</t>
  </si>
  <si>
    <t xml:space="preserve">Marty Freudenburg</t>
  </si>
  <si>
    <t xml:space="preserve">Elease Gluck</t>
  </si>
  <si>
    <t xml:space="preserve">Jonathan Berthelot</t>
  </si>
  <si>
    <t xml:space="preserve">Anna Snelling</t>
  </si>
  <si>
    <t xml:space="preserve">Hayden Neloms</t>
  </si>
  <si>
    <t xml:space="preserve">Boris Faz</t>
  </si>
  <si>
    <t xml:space="preserve">Rosalina Dieter</t>
  </si>
  <si>
    <t xml:space="preserve">Rosie Papadopoulos</t>
  </si>
  <si>
    <t xml:space="preserve">Cecily Lampkin</t>
  </si>
  <si>
    <t xml:space="preserve">Moses Frase</t>
  </si>
  <si>
    <t xml:space="preserve">Garret Kinder</t>
  </si>
  <si>
    <t xml:space="preserve">Lajuana Vencill</t>
  </si>
  <si>
    <t xml:space="preserve">Versie Hillebrand</t>
  </si>
  <si>
    <t xml:space="preserve">Niesha Huffines</t>
  </si>
  <si>
    <t xml:space="preserve">Wilburn Farren</t>
  </si>
  <si>
    <t xml:space="preserve">Violet Mclelland</t>
  </si>
  <si>
    <t xml:space="preserve">TOTAL</t>
  </si>
  <si>
    <t xml:space="preserve">Product Performance Breakdown</t>
  </si>
  <si>
    <t xml:space="preserve">Product</t>
  </si>
  <si>
    <t xml:space="preserve">Series</t>
  </si>
  <si>
    <t xml:space="preserve">List Price</t>
  </si>
  <si>
    <t xml:space="preserve">Avg Close Value</t>
  </si>
  <si>
    <t xml:space="preserve">GTX Plus Pro</t>
  </si>
  <si>
    <t xml:space="preserve">GTX</t>
  </si>
  <si>
    <t xml:space="preserve">MG Advanced</t>
  </si>
  <si>
    <t xml:space="preserve">MG</t>
  </si>
  <si>
    <t xml:space="preserve">GTX Plus Basic</t>
  </si>
  <si>
    <t xml:space="preserve">GTX Basic</t>
  </si>
  <si>
    <t xml:space="preserve">GTK 500</t>
  </si>
  <si>
    <t xml:space="preserve">GTK</t>
  </si>
  <si>
    <t xml:space="preserve">MG Special</t>
  </si>
  <si>
    <t xml:space="preserve">Monthly Revenue Trend</t>
  </si>
  <si>
    <t xml:space="preserve">Won deals only  ·  Closed date basis</t>
  </si>
  <si>
    <t xml:space="preserve">Month</t>
  </si>
  <si>
    <t xml:space="preserve">Revenue</t>
  </si>
  <si>
    <t xml:space="preserve">MoM Growth</t>
  </si>
  <si>
    <t xml:space="preserve">Cumulative Revenue</t>
  </si>
  <si>
    <t xml:space="preserve">3-Month Avg</t>
  </si>
  <si>
    <t xml:space="preserve">vs. Period Avg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</si>
  <si>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</si>
  <si>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</si>
  <si>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</si>
  <si>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</si>
  <si>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</si>
  <si>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</si>
  <si>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</si>
  <si>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</si>
  <si>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</si>
  <si>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</si>
  <si>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TOTAL / AVG</t>
  </si>
  <si>
    <t xml:space="preserve">Data Processing &amp; Quality Notes</t>
  </si>
  <si>
    <t xml:space="preserve">Documents every transformation applied to the 5 source files before analysis</t>
  </si>
  <si>
    <t xml:space="preserve">SECTION 1 — SOURCE FILE INVENTORY</t>
  </si>
  <si>
    <t xml:space="preserve">File</t>
  </si>
  <si>
    <t xml:space="preserve">Rows</t>
  </si>
  <si>
    <t xml:space="preserve">Columns</t>
  </si>
  <si>
    <t xml:space="preserve">Primary Key</t>
  </si>
  <si>
    <t xml:space="preserve">Role in Analysis</t>
  </si>
  <si>
    <t xml:space="preserve">Null Fields</t>
  </si>
  <si>
    <t xml:space="preserve">Join Target</t>
  </si>
  <si>
    <t xml:space="preserve">Status</t>
  </si>
  <si>
    <t xml:space="preserve">sales_pipeline.csv</t>
  </si>
  <si>
    <t xml:space="preserve">opportunity_id</t>
  </si>
  <si>
    <t xml:space="preserve">Fact table — one row per deal</t>
  </si>
  <si>
    <t xml:space="preserve">account (1,425), engage_date (500), close_date (2,089), close_value (2,089)</t>
  </si>
  <si>
    <t xml:space="preserve">sales_teams, products</t>
  </si>
  <si>
    <t xml:space="preserve">Used</t>
  </si>
  <si>
    <t xml:space="preserve">accounts.csv</t>
  </si>
  <si>
    <t xml:space="preserve">account</t>
  </si>
  <si>
    <t xml:space="preserve">Account dimension — company metadata</t>
  </si>
  <si>
    <t xml:space="preserve">subsidiary_of (70)</t>
  </si>
  <si>
    <t xml:space="preserve">sales_pipeline</t>
  </si>
  <si>
    <t xml:space="preserve">products.csv</t>
  </si>
  <si>
    <t xml:space="preserve">product</t>
  </si>
  <si>
    <t xml:space="preserve">Product dimension — series &amp; list price</t>
  </si>
  <si>
    <t xml:space="preserve">None</t>
  </si>
  <si>
    <t xml:space="preserve">sales_teams.csv</t>
  </si>
  <si>
    <t xml:space="preserve">sales_agent</t>
  </si>
  <si>
    <t xml:space="preserve">Team dimension — agent → manager → region</t>
  </si>
  <si>
    <t xml:space="preserve">data_dictionary.csv</t>
  </si>
  <si>
    <t xml:space="preserve">—</t>
  </si>
  <si>
    <t xml:space="preserve">Reference only — field descriptions</t>
  </si>
  <si>
    <t xml:space="preserve">Reference</t>
  </si>
  <si>
    <t xml:space="preserve">SECTION 2 — DATA QUALITY ISSUES IDENTIFIED</t>
  </si>
  <si>
    <t xml:space="preserve">#</t>
  </si>
  <si>
    <t xml:space="preserve">Field</t>
  </si>
  <si>
    <t xml:space="preserve">Issue Type</t>
  </si>
  <si>
    <t xml:space="preserve">Detail</t>
  </si>
  <si>
    <t xml:space="preserve">Rows Affected</t>
  </si>
  <si>
    <t xml:space="preserve">Severity</t>
  </si>
  <si>
    <t xml:space="preserve">Action Taken</t>
  </si>
  <si>
    <t xml:space="preserve">Spelling inconsistency</t>
  </si>
  <si>
    <t xml:space="preserve">"GTXPro" in pipeline vs "GTX Pro" in products table — breaks join on product key</t>
  </si>
  <si>
    <t xml:space="preserve">High</t>
  </si>
  <si>
    <t xml:space="preserve">Normalised to "GTX Pro" via str.replace before join</t>
  </si>
  <si>
    <t xml:space="preserve">Missing values</t>
  </si>
  <si>
    <t xml:space="preserve">No account name on 1,425 records — all are in Engaging (1,088) or Prospecting (337) stage</t>
  </si>
  <si>
    <t xml:space="preserve">Medium</t>
  </si>
  <si>
    <t xml:space="preserve">Retained as-is; expected for early-stage deals with no assigned account</t>
  </si>
  <si>
    <t xml:space="preserve">engage_date</t>
  </si>
  <si>
    <t xml:space="preserve">All 500 missing engage_dates belong to Prospecting stage — deal not yet formally engaged</t>
  </si>
  <si>
    <t xml:space="preserve">Low</t>
  </si>
  <si>
    <t xml:space="preserve">Retained as NaT; excluded from days_to_close calculation</t>
  </si>
  <si>
    <t xml:space="preserve">close_date /
close_value</t>
  </si>
  <si>
    <t xml:space="preserve">Expected nulls</t>
  </si>
  <si>
    <t xml:space="preserve">2,089 records have no close date or value — these are open deals (Engaging + Prospecting)</t>
  </si>
  <si>
    <t xml:space="preserve">Retained as NaT / NaN; excluded from revenue aggregations</t>
  </si>
  <si>
    <t xml:space="preserve">sector</t>
  </si>
  <si>
    <t xml:space="preserve">Typo</t>
  </si>
  <si>
    <t xml:space="preserve">"technolgy" should be "technology"</t>
  </si>
  <si>
    <t xml:space="preserve">Noted; corrected if sector used in groupby</t>
  </si>
  <si>
    <t xml:space="preserve">subsidiary_of</t>
  </si>
  <si>
    <t xml:space="preserve">70 of 85 accounts have no parent company — majority are independent entities</t>
  </si>
  <si>
    <t xml:space="preserve">Retained as NaN; field not used in analysis</t>
  </si>
  <si>
    <t xml:space="preserve">office_location</t>
  </si>
  <si>
    <t xml:space="preserve">Low cardinality outside US</t>
  </si>
  <si>
    <t xml:space="preserve">71 of 85 accounts are US-based; 14 others each represent a single country</t>
  </si>
  <si>
    <t xml:space="preserve">Info</t>
  </si>
  <si>
    <t xml:space="preserve">Used as-is for regional breakdown</t>
  </si>
  <si>
    <t xml:space="preserve">Coverage gap</t>
  </si>
  <si>
    <t xml:space="preserve">35 agents in sales_teams; only 30 appear in sales_pipeline (5 agents have no deals)</t>
  </si>
  <si>
    <t xml:space="preserve">Retained in dimension table; simply excluded from aggregations naturally</t>
  </si>
  <si>
    <t xml:space="preserve">SECTION 3 — TRANSFORMATIONS APPLIED</t>
  </si>
  <si>
    <t xml:space="preserve">Step</t>
  </si>
  <si>
    <t xml:space="preserve">Operation</t>
  </si>
  <si>
    <t xml:space="preserve">Input Field(s)</t>
  </si>
  <si>
    <t xml:space="preserve">Output Field</t>
  </si>
  <si>
    <t xml:space="preserve">Logic</t>
  </si>
  <si>
    <t xml:space="preserve">Applied To</t>
  </si>
  <si>
    <t xml:space="preserve">Type cast</t>
  </si>
  <si>
    <t xml:space="preserve">engage_date, close_date</t>
  </si>
  <si>
    <t xml:space="preserve">datetime</t>
  </si>
  <si>
    <t xml:space="preserve">pd.to_datetime() — converted from string to datetime64</t>
  </si>
  <si>
    <t xml:space="preserve">Derived column</t>
  </si>
  <si>
    <t xml:space="preserve">close_date, engage_date</t>
  </si>
  <si>
    <t xml:space="preserve">days_to_close</t>
  </si>
  <si>
    <t xml:space="preserve">(close_date − engage_date).dt.days — only valid for Won/Lost records</t>
  </si>
  <si>
    <t xml:space="preserve">String normalise</t>
  </si>
  <si>
    <t xml:space="preserve">product (cleaned)</t>
  </si>
  <si>
    <t xml:space="preserve">str.replace("GTXPro", "GTX Pro") — aligns with products dimension key</t>
  </si>
  <si>
    <t xml:space="preserve">Binary flag</t>
  </si>
  <si>
    <t xml:space="preserve">deal_stage</t>
  </si>
  <si>
    <t xml:space="preserve">is_won</t>
  </si>
  <si>
    <t xml:space="preserve">1 if deal_stage == "Won" else 0</t>
  </si>
  <si>
    <t xml:space="preserve">is_lost</t>
  </si>
  <si>
    <t xml:space="preserve">1 if deal_stage == "Lost" else 0</t>
  </si>
  <si>
    <t xml:space="preserve">is_won, is_lost</t>
  </si>
  <si>
    <t xml:space="preserve">is_closed</t>
  </si>
  <si>
    <t xml:space="preserve">is_won | is_lost — marks all resolved deals regardless of outcome</t>
  </si>
  <si>
    <t xml:space="preserve">LEFT JOIN</t>
  </si>
  <si>
    <t xml:space="preserve">manager, regional_office</t>
  </si>
  <si>
    <t xml:space="preserve">sales_pipeline LEFT JOIN sales_teams ON sales_agent</t>
  </si>
  <si>
    <t xml:space="preserve">pipeline ← teams</t>
  </si>
  <si>
    <t xml:space="preserve">series, sales_price</t>
  </si>
  <si>
    <t xml:space="preserve">sales_pipeline LEFT JOIN products ON product (after name fix in step 3)</t>
  </si>
  <si>
    <t xml:space="preserve">pipeline ← products</t>
  </si>
  <si>
    <t xml:space="preserve">Period extraction</t>
  </si>
  <si>
    <t xml:space="preserve">close_date</t>
  </si>
  <si>
    <t xml:space="preserve">close_month</t>
  </si>
  <si>
    <t xml:space="preserve">dt.to_period("M") — monthly grouping key for time series</t>
  </si>
  <si>
    <t xml:space="preserve">Conditional filter</t>
  </si>
  <si>
    <t xml:space="preserve">is_closed == 1</t>
  </si>
  <si>
    <t xml:space="preserve">closed_df</t>
  </si>
  <si>
    <t xml:space="preserve">Subset used for win rate, agent stats, and product stats (excludes open pipeline)</t>
  </si>
  <si>
    <t xml:space="preserve">is_won == 1</t>
  </si>
  <si>
    <t xml:space="preserve">won_df</t>
  </si>
  <si>
    <t xml:space="preserve">Subset used for revenue aggregations — close_value only populated on Won deals</t>
  </si>
  <si>
    <t xml:space="preserve">Aggregate</t>
  </si>
  <si>
    <t xml:space="preserve">close_value [won only]</t>
  </si>
  <si>
    <t xml:space="preserve">revenue</t>
  </si>
  <si>
    <t xml:space="preserve">SUM(close_value) where is_won == 1, grouped by agent / product / month</t>
  </si>
  <si>
    <t xml:space="preserve">Aggregations</t>
  </si>
  <si>
    <t xml:space="preserve">SECTION 4 — FINAL MERGED SCHEMA USED IN ANALYSIS</t>
  </si>
  <si>
    <t xml:space="preserve">Source Table</t>
  </si>
  <si>
    <t xml:space="preserve">Type</t>
  </si>
  <si>
    <t xml:space="preserve">Null Count</t>
  </si>
  <si>
    <t xml:space="preserve">Used In</t>
  </si>
  <si>
    <t xml:space="preserve">Notes</t>
  </si>
  <si>
    <t xml:space="preserve">string</t>
  </si>
  <si>
    <t xml:space="preserve">Row identifier</t>
  </si>
  <si>
    <t xml:space="preserve">Unique per deal</t>
  </si>
  <si>
    <t xml:space="preserve">All sheets</t>
  </si>
  <si>
    <t xml:space="preserve">Product sheet</t>
  </si>
  <si>
    <t xml:space="preserve">Cleaned: GTXPro → GTX Pro</t>
  </si>
  <si>
    <t xml:space="preserve">Not used directly</t>
  </si>
  <si>
    <t xml:space="preserve">Nulls in Engaging/Prospecting</t>
  </si>
  <si>
    <t xml:space="preserve">Won / Lost / Engaging / Prospecting</t>
  </si>
  <si>
    <t xml:space="preserve">days_to_close calc</t>
  </si>
  <si>
    <t xml:space="preserve">Nulls = Prospecting stage</t>
  </si>
  <si>
    <t xml:space="preserve">Monthly trend</t>
  </si>
  <si>
    <t xml:space="preserve">Nulls = open deals</t>
  </si>
  <si>
    <t xml:space="preserve">close_value</t>
  </si>
  <si>
    <t xml:space="preserve">float</t>
  </si>
  <si>
    <t xml:space="preserve">Revenue aggregations</t>
  </si>
  <si>
    <t xml:space="preserve">Only populated on Won deals</t>
  </si>
  <si>
    <t xml:space="preserve">Derived</t>
  </si>
  <si>
    <t xml:space="preserve">int</t>
  </si>
  <si>
    <t xml:space="preserve">Avg cycle KPI</t>
  </si>
  <si>
    <t xml:space="preserve">close_date − engage_date</t>
  </si>
  <si>
    <t xml:space="preserve">int (0/1)</t>
  </si>
  <si>
    <t xml:space="preserve">All aggregations</t>
  </si>
  <si>
    <t xml:space="preserve">Win rate calc</t>
  </si>
  <si>
    <t xml:space="preserve">Filter for closed deals</t>
  </si>
  <si>
    <t xml:space="preserve">manager</t>
  </si>
  <si>
    <t xml:space="preserve">sales_teams</t>
  </si>
  <si>
    <t xml:space="preserve">Agent sheet, Exec summary</t>
  </si>
  <si>
    <t xml:space="preserve">Via LEFT JOIN on sales_agent</t>
  </si>
  <si>
    <t xml:space="preserve">regional_office</t>
  </si>
  <si>
    <t xml:space="preserve">Agent sheet</t>
  </si>
  <si>
    <t xml:space="preserve">series</t>
  </si>
  <si>
    <t xml:space="preserve">products</t>
  </si>
  <si>
    <t xml:space="preserve">Null before GTXPro fix</t>
  </si>
  <si>
    <t xml:space="preserve">sales_price</t>
  </si>
  <si>
    <t xml:space="preserve">Deal scoring</t>
  </si>
  <si>
    <t xml:space="preserve">List price — not close_value</t>
  </si>
  <si>
    <t xml:space="preserve">Period[M]</t>
  </si>
  <si>
    <t xml:space="preserve">Monthly trend sheet</t>
  </si>
  <si>
    <t xml:space="preserve">dt.to_period("M")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</si>
</sst>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$#,##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94A3B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94A3B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C2B3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2563EB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b val="true"/>
      <sz val="10"/>
      <color rgb="FF1E40AF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i val="true"/>
      <sz val="10"/>
      <color rgb="FF475569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i val="true"/>
      <sz val="10"/>
      <color rgb="FF1C2B3A"/>
      <name val="Arial"/>
      <family val="0"/>
      <charset val="1"/>
    </font>
    <font>
      <sz val="10"/>
      <color rgb="FF92400E"/>
      <name val="Arial"/>
      <family val="0"/>
      <charset val="1"/>
    </font>
    <font>
      <b val="true"/>
      <sz val="10"/>
      <color rgb="FF6B728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C2B3A"/>
        <bgColor rgb="FF1E3A5F"/>
      </patternFill>
    </fill>
    <fill>
      <patternFill patternType="solid">
        <fgColor rgb="FF2C3E50"/>
        <bgColor rgb="FF1E3A5F"/>
      </patternFill>
    </fill>
    <fill>
      <patternFill patternType="solid">
        <fgColor rgb="FF2563EB"/>
        <bgColor rgb="FF0066CC"/>
      </patternFill>
    </fill>
    <fill>
      <patternFill patternType="solid">
        <fgColor rgb="FF1E3A5F"/>
        <bgColor rgb="FF2C3E50"/>
      </patternFill>
    </fill>
    <fill>
      <patternFill patternType="solid">
        <fgColor rgb="FFF8FAFC"/>
        <bgColor rgb="FFF9F9F9"/>
      </patternFill>
    </fill>
    <fill>
      <patternFill patternType="solid">
        <fgColor rgb="FFFFFFFF"/>
        <bgColor rgb="FFF8FAFC"/>
      </patternFill>
    </fill>
    <fill>
      <patternFill patternType="solid">
        <fgColor rgb="FFEFF6FF"/>
        <bgColor rgb="FFF8FAFC"/>
      </patternFill>
    </fill>
    <fill>
      <patternFill patternType="solid">
        <fgColor rgb="FFDCFCE7"/>
        <bgColor rgb="FFEFF6FF"/>
      </patternFill>
    </fill>
    <fill>
      <patternFill patternType="solid">
        <fgColor rgb="FFDBEAFE"/>
        <bgColor rgb="FFEFF6FF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475569"/>
      <rgbColor rgb="FFD9D9D9"/>
      <rgbColor rgb="FF878787"/>
      <rgbColor rgb="FF9999FF"/>
      <rgbColor rgb="FF993366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FF6FF"/>
      <rgbColor rgb="FFF9F9F9"/>
      <rgbColor rgb="FFF8FAFC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D97706"/>
      <rgbColor rgb="FF6B7280"/>
      <rgbColor rgb="FF94A3B8"/>
      <rgbColor rgb="FF1E3A5F"/>
      <rgbColor rgb="FF16A34A"/>
      <rgbColor rgb="FF003300"/>
      <rgbColor rgb="FF1C2B3A"/>
      <rgbColor rgb="FF92400E"/>
      <rgbColor rgb="FF993366"/>
      <rgbColor rgb="FF1E40AF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Agents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'Agent &amp; Manager Pipeline'!H4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2563eb"/>
            </a:solidFill>
            <a:ln w="9360">
              <a:solidFill>
                <a:srgbClr val="2563eb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'Agent &amp; Manager Pipeline'!$A$5:$A$14</c:f>
              <c:strCache>
                <c:ptCount val="10"/>
                <c:pt idx="0">
                  <c:v>Darcel Schlecht</c:v>
                </c:pt>
                <c:pt idx="1">
                  <c:v>Vicki Laflamme</c:v>
                </c:pt>
                <c:pt idx="2">
                  <c:v>Kary Hendrixson</c:v>
                </c:pt>
                <c:pt idx="3">
                  <c:v>Cassey Cress</c:v>
                </c:pt>
                <c:pt idx="4">
                  <c:v>Donn Cantrell</c:v>
                </c:pt>
                <c:pt idx="5">
                  <c:v>Reed Clapper</c:v>
                </c:pt>
                <c:pt idx="6">
                  <c:v>Zane Levy</c:v>
                </c:pt>
                <c:pt idx="7">
                  <c:v>Corliss Cosme</c:v>
                </c:pt>
                <c:pt idx="8">
                  <c:v>James Ascencio</c:v>
                </c:pt>
                <c:pt idx="9">
                  <c:v>Daniell Hammack</c:v>
                </c:pt>
              </c:strCache>
            </c:strRef>
          </c:cat>
          <c:val>
            <c:numRef>
              <c:f>'Agent &amp; Manager Pipeline'!$H$5:$H$14</c:f>
              <c:numCache>
                <c:formatCode>\$#,##0</c:formatCode>
                <c:ptCount val="10"/>
                <c:pt idx="0">
                  <c:v>1153214</c:v>
                </c:pt>
                <c:pt idx="1">
                  <c:v>478396</c:v>
                </c:pt>
                <c:pt idx="2">
                  <c:v>454298</c:v>
                </c:pt>
                <c:pt idx="3">
                  <c:v>450489</c:v>
                </c:pt>
                <c:pt idx="4">
                  <c:v>445860</c:v>
                </c:pt>
                <c:pt idx="5">
                  <c:v>438336</c:v>
                </c:pt>
                <c:pt idx="6">
                  <c:v>430068</c:v>
                </c:pt>
                <c:pt idx="7">
                  <c:v>421036</c:v>
                </c:pt>
                <c:pt idx="8">
                  <c:v>413533</c:v>
                </c:pt>
                <c:pt idx="9">
                  <c:v>364229</c:v>
                </c:pt>
              </c:numCache>
            </c:numRef>
          </c:val>
        </c:ser>
        <c:gapWidth val="150"/>
        <c:overlap val="0"/>
        <c:axId val="11087404"/>
        <c:axId val="12493238"/>
      </c:barChart>
      <c:catAx>
        <c:axId val="1108740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493238"/>
        <c:crosses val="autoZero"/>
        <c:auto val="1"/>
        <c:lblAlgn val="ctr"/>
        <c:lblOffset val="100"/>
        <c:noMultiLvlLbl val="0"/>
      </c:catAx>
      <c:valAx>
        <c:axId val="124932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Agent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0874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'Product Performance'!G4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2563e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Performance'!$A$5:$A$10</c:f>
              <c:strCache>
                <c:ptCount val="6"/>
                <c:pt idx="0">
                  <c:v>GTX Plus Pro</c:v>
                </c:pt>
                <c:pt idx="1">
                  <c:v>MG Advanced</c:v>
                </c:pt>
                <c:pt idx="2">
                  <c:v>GTX Plus Basic</c:v>
                </c:pt>
                <c:pt idx="3">
                  <c:v>GTX Basic</c:v>
                </c:pt>
                <c:pt idx="4">
                  <c:v>GTK 500</c:v>
                </c:pt>
                <c:pt idx="5">
                  <c:v>MG Special</c:v>
                </c:pt>
              </c:strCache>
            </c:strRef>
          </c:cat>
          <c:val>
            <c:numRef>
              <c:f>'Product Performance'!$G$5:$G$10</c:f>
              <c:numCache>
                <c:formatCode>\$#,##0</c:formatCode>
                <c:ptCount val="6"/>
                <c:pt idx="0">
                  <c:v>2629651</c:v>
                </c:pt>
                <c:pt idx="1">
                  <c:v>2216387</c:v>
                </c:pt>
                <c:pt idx="2">
                  <c:v>705275</c:v>
                </c:pt>
                <c:pt idx="3">
                  <c:v>499263</c:v>
                </c:pt>
                <c:pt idx="4">
                  <c:v>400612</c:v>
                </c:pt>
                <c:pt idx="5">
                  <c:v>43768</c:v>
                </c:pt>
              </c:numCache>
            </c:numRef>
          </c:val>
        </c:ser>
        <c:gapWidth val="150"/>
        <c:overlap val="0"/>
        <c:axId val="53798150"/>
        <c:axId val="72072683"/>
      </c:barChart>
      <c:catAx>
        <c:axId val="5379815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072683"/>
        <c:crosses val="autoZero"/>
        <c:auto val="1"/>
        <c:lblAlgn val="ctr"/>
        <c:lblOffset val="100"/>
        <c:noMultiLvlLbl val="0"/>
      </c:catAx>
      <c:valAx>
        <c:axId val="720726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7981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Win Rate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'Product Performance'!F4</c:f>
              <c:strCache>
                <c:ptCount val="1"/>
                <c:pt idx="0">
                  <c:v>Win Rate</c:v>
                </c:pt>
              </c:strCache>
            </c:strRef>
          </c:tx>
          <c:spPr>
            <a:solidFill>
              <a:srgbClr val="16a3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Performance'!$A$5:$A$10</c:f>
              <c:strCache>
                <c:ptCount val="6"/>
                <c:pt idx="0">
                  <c:v>GTX Plus Pro</c:v>
                </c:pt>
                <c:pt idx="1">
                  <c:v>MG Advanced</c:v>
                </c:pt>
                <c:pt idx="2">
                  <c:v>GTX Plus Basic</c:v>
                </c:pt>
                <c:pt idx="3">
                  <c:v>GTX Basic</c:v>
                </c:pt>
                <c:pt idx="4">
                  <c:v>GTK 500</c:v>
                </c:pt>
                <c:pt idx="5">
                  <c:v>MG Special</c:v>
                </c:pt>
              </c:strCache>
            </c:strRef>
          </c:cat>
          <c:val>
            <c:numRef>
              <c:f>'Product Performance'!$F$5:$F$10</c:f>
              <c:numCache>
                <c:formatCode>0.0%</c:formatCode>
                <c:ptCount val="6"/>
                <c:pt idx="0">
                  <c:v>0.642953020134228</c:v>
                </c:pt>
                <c:pt idx="1">
                  <c:v>0.603321033210332</c:v>
                </c:pt>
                <c:pt idx="2">
                  <c:v>0.621313035204567</c:v>
                </c:pt>
                <c:pt idx="3">
                  <c:v>0.637186629526462</c:v>
                </c:pt>
                <c:pt idx="4">
                  <c:v>0.6</c:v>
                </c:pt>
                <c:pt idx="5">
                  <c:v>0.648405560098119</c:v>
                </c:pt>
              </c:numCache>
            </c:numRef>
          </c:val>
        </c:ser>
        <c:gapWidth val="150"/>
        <c:overlap val="0"/>
        <c:axId val="31967286"/>
        <c:axId val="49371486"/>
      </c:barChart>
      <c:catAx>
        <c:axId val="3196728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Win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371486"/>
        <c:crosses val="autoZero"/>
        <c:auto val="1"/>
        <c:lblAlgn val="ctr"/>
        <c:lblOffset val="100"/>
        <c:noMultiLvlLbl val="0"/>
      </c:catAx>
      <c:valAx>
        <c:axId val="493714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9672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(Won Deals)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Revenue Trend'!C4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563eb"/>
            </a:solidFill>
            <a:ln w="24840">
              <a:solidFill>
                <a:srgbClr val="2563e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Revenue Trend'!$A$5:$A$14</c:f>
              <c:strCache>
                <c:ptCount val="10"/>
                <c:pt idx="0">
                  <c:v>2017-03</c:v>
                </c:pt>
                <c:pt idx="1">
                  <c:v>2017-04</c:v>
                </c:pt>
                <c:pt idx="2">
                  <c:v>2017-05</c:v>
                </c:pt>
                <c:pt idx="3">
                  <c:v>2017-06</c:v>
                </c:pt>
                <c:pt idx="4">
                  <c:v>2017-07</c:v>
                </c:pt>
                <c:pt idx="5">
                  <c:v>2017-08</c:v>
                </c:pt>
                <c:pt idx="6">
                  <c:v>2017-09</c:v>
                </c:pt>
                <c:pt idx="7">
                  <c:v>2017-10</c:v>
                </c:pt>
                <c:pt idx="8">
                  <c:v>2017-11</c:v>
                </c:pt>
                <c:pt idx="9">
                  <c:v>2017-12</c:v>
                </c:pt>
              </c:strCache>
            </c:strRef>
          </c:cat>
          <c:val>
            <c:numRef>
              <c:f>'Monthly Revenue Trend'!$C$5:$C$14</c:f>
              <c:numCache>
                <c:formatCode>\$#,##0</c:formatCode>
                <c:ptCount val="10"/>
                <c:pt idx="0">
                  <c:v>1134672</c:v>
                </c:pt>
                <c:pt idx="1">
                  <c:v>721932</c:v>
                </c:pt>
                <c:pt idx="2">
                  <c:v>1025713</c:v>
                </c:pt>
                <c:pt idx="3">
                  <c:v>1338466</c:v>
                </c:pt>
                <c:pt idx="4">
                  <c:v>696932</c:v>
                </c:pt>
                <c:pt idx="5">
                  <c:v>1050059</c:v>
                </c:pt>
                <c:pt idx="6">
                  <c:v>1235264</c:v>
                </c:pt>
                <c:pt idx="7">
                  <c:v>731980</c:v>
                </c:pt>
                <c:pt idx="8">
                  <c:v>938943</c:v>
                </c:pt>
                <c:pt idx="9">
                  <c:v>1131573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'Monthly Revenue Trend'!F4</c:f>
              <c:strCache>
                <c:ptCount val="1"/>
                <c:pt idx="0">
                  <c:v>3-Month Avg</c:v>
                </c:pt>
              </c:strCache>
            </c:strRef>
          </c:tx>
          <c:spPr>
            <a:solidFill>
              <a:srgbClr val="d97706"/>
            </a:solidFill>
            <a:ln w="47520">
              <a:solidFill>
                <a:srgbClr val="d9770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Revenue Trend'!$A$5:$A$14</c:f>
              <c:strCache>
                <c:ptCount val="10"/>
                <c:pt idx="0">
                  <c:v>2017-03</c:v>
                </c:pt>
                <c:pt idx="1">
                  <c:v>2017-04</c:v>
                </c:pt>
                <c:pt idx="2">
                  <c:v>2017-05</c:v>
                </c:pt>
                <c:pt idx="3">
                  <c:v>2017-06</c:v>
                </c:pt>
                <c:pt idx="4">
                  <c:v>2017-07</c:v>
                </c:pt>
                <c:pt idx="5">
                  <c:v>2017-08</c:v>
                </c:pt>
                <c:pt idx="6">
                  <c:v>2017-09</c:v>
                </c:pt>
                <c:pt idx="7">
                  <c:v>2017-10</c:v>
                </c:pt>
                <c:pt idx="8">
                  <c:v>2017-11</c:v>
                </c:pt>
                <c:pt idx="9">
                  <c:v>2017-12</c:v>
                </c:pt>
              </c:strCache>
            </c:strRef>
          </c:cat>
          <c:val>
            <c:numRef>
              <c:f>'Monthly Revenue Trend'!$F$5:$F$14</c:f>
              <c:numCache>
                <c:formatCode>\$#,##0</c:formatCode>
                <c:ptCount val="10"/>
                <c:pt idx="2">
                  <c:v>960772.333333333</c:v>
                </c:pt>
                <c:pt idx="3">
                  <c:v>1028703.66666667</c:v>
                </c:pt>
                <c:pt idx="4">
                  <c:v>1020370.33333333</c:v>
                </c:pt>
                <c:pt idx="5">
                  <c:v>1028485.66666667</c:v>
                </c:pt>
                <c:pt idx="6">
                  <c:v>994085</c:v>
                </c:pt>
                <c:pt idx="7">
                  <c:v>1005767.66666667</c:v>
                </c:pt>
                <c:pt idx="8">
                  <c:v>968729</c:v>
                </c:pt>
                <c:pt idx="9">
                  <c:v>934165.333333333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6408840"/>
        <c:axId val="3049371"/>
      </c:lineChart>
      <c:catAx>
        <c:axId val="864088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49371"/>
        <c:crosses val="autoZero"/>
        <c:auto val="1"/>
        <c:lblAlgn val="ctr"/>
        <c:lblOffset val="100"/>
        <c:noMultiLvlLbl val="0"/>
      </c:catAx>
      <c:valAx>
        <c:axId val="30493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4088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37</xdr:row>
      <xdr:rowOff>0</xdr:rowOff>
    </xdr:from>
    <xdr:to>
      <xdr:col>6</xdr:col>
      <xdr:colOff>206280</xdr:colOff>
      <xdr:row>59</xdr:row>
      <xdr:rowOff>128160</xdr:rowOff>
    </xdr:to>
    <xdr:graphicFrame>
      <xdr:nvGraphicFramePr>
        <xdr:cNvPr id="0" name="Chart 1"/>
        <xdr:cNvGraphicFramePr/>
      </xdr:nvGraphicFramePr>
      <xdr:xfrm>
        <a:off x="0" y="7219800"/>
        <a:ext cx="647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6</xdr:col>
      <xdr:colOff>402480</xdr:colOff>
      <xdr:row>31</xdr:row>
      <xdr:rowOff>170280</xdr:rowOff>
    </xdr:to>
    <xdr:graphicFrame>
      <xdr:nvGraphicFramePr>
        <xdr:cNvPr id="1" name="Chart 1"/>
        <xdr:cNvGraphicFramePr/>
      </xdr:nvGraphicFramePr>
      <xdr:xfrm>
        <a:off x="0" y="2647800"/>
        <a:ext cx="575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13</xdr:row>
      <xdr:rowOff>0</xdr:rowOff>
    </xdr:from>
    <xdr:to>
      <xdr:col>18</xdr:col>
      <xdr:colOff>255600</xdr:colOff>
      <xdr:row>31</xdr:row>
      <xdr:rowOff>170280</xdr:rowOff>
    </xdr:to>
    <xdr:graphicFrame>
      <xdr:nvGraphicFramePr>
        <xdr:cNvPr id="2" name="Chart 2"/>
        <xdr:cNvGraphicFramePr/>
      </xdr:nvGraphicFramePr>
      <xdr:xfrm>
        <a:off x="8294400" y="2647800"/>
        <a:ext cx="575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7</xdr:col>
      <xdr:colOff>377280</xdr:colOff>
      <xdr:row>39</xdr:row>
      <xdr:rowOff>128520</xdr:rowOff>
    </xdr:to>
    <xdr:graphicFrame>
      <xdr:nvGraphicFramePr>
        <xdr:cNvPr id="3" name="Chart 1"/>
        <xdr:cNvGraphicFramePr/>
      </xdr:nvGraphicFramePr>
      <xdr:xfrm>
        <a:off x="0" y="3505320"/>
        <a:ext cx="791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7" min="6" style="1" width="16"/>
    <col collapsed="false" customWidth="true" hidden="false" outlineLevel="0" max="8" min="8" style="1" width="8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9.75" hidden="false" customHeight="true" outlineLevel="0" collapsed="false"/>
    <row r="4" customFormat="false" ht="19.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21.7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customFormat="false" ht="30" hidden="false" customHeight="true" outlineLevel="0" collapsed="false">
      <c r="A6" s="6" t="s">
        <v>11</v>
      </c>
      <c r="B6" s="6" t="s">
        <v>12</v>
      </c>
      <c r="C6" s="6" t="s">
        <v>13</v>
      </c>
      <c r="D6" s="6" t="s">
        <v>14</v>
      </c>
      <c r="E6" s="6" t="s">
        <v>15</v>
      </c>
      <c r="F6" s="6" t="s">
        <v>16</v>
      </c>
      <c r="G6" s="6" t="s">
        <v>17</v>
      </c>
      <c r="H6" s="6" t="s">
        <v>18</v>
      </c>
    </row>
    <row r="7" customFormat="false" ht="15.75" hidden="false" customHeight="true" outlineLevel="0" collapsed="false">
      <c r="A7" s="7" t="s">
        <v>19</v>
      </c>
      <c r="B7" s="7" t="s">
        <v>20</v>
      </c>
      <c r="C7" s="7" t="s">
        <v>21</v>
      </c>
      <c r="D7" s="7" t="s">
        <v>22</v>
      </c>
      <c r="E7" s="7" t="s">
        <v>23</v>
      </c>
      <c r="F7" s="7" t="s">
        <v>24</v>
      </c>
      <c r="G7" s="7" t="s">
        <v>25</v>
      </c>
      <c r="H7" s="7" t="s">
        <v>26</v>
      </c>
    </row>
    <row r="8" customFormat="false" ht="9.75" hidden="false" customHeight="true" outlineLevel="0" collapsed="false"/>
    <row r="9" customFormat="false" ht="19.5" hidden="false" customHeight="true" outlineLevel="0" collapsed="false">
      <c r="A9" s="4" t="s">
        <v>27</v>
      </c>
      <c r="B9" s="4"/>
      <c r="C9" s="4"/>
      <c r="D9" s="4"/>
      <c r="E9" s="4"/>
      <c r="F9" s="4"/>
      <c r="G9" s="4"/>
      <c r="H9" s="4"/>
    </row>
    <row r="10" customFormat="false" ht="18" hidden="false" customHeight="true" outlineLevel="0" collapsed="false">
      <c r="A10" s="8" t="s">
        <v>28</v>
      </c>
      <c r="B10" s="8" t="s">
        <v>29</v>
      </c>
      <c r="C10" s="8" t="s">
        <v>30</v>
      </c>
      <c r="D10" s="8" t="s">
        <v>4</v>
      </c>
      <c r="E10" s="8" t="s">
        <v>6</v>
      </c>
      <c r="F10" s="8" t="s">
        <v>7</v>
      </c>
      <c r="G10" s="8" t="s">
        <v>8</v>
      </c>
      <c r="H10" s="8" t="s">
        <v>31</v>
      </c>
    </row>
    <row r="11" customFormat="false" ht="15.75" hidden="false" customHeight="true" outlineLevel="0" collapsed="false">
      <c r="A11" s="9" t="s">
        <v>32</v>
      </c>
      <c r="B11" s="9" t="s">
        <v>33</v>
      </c>
      <c r="C11" s="9" t="n">
        <v>1418</v>
      </c>
      <c r="D11" s="9" t="n">
        <v>882</v>
      </c>
      <c r="E11" s="10" t="n">
        <f aca="false">D11/C11</f>
        <v>0.622002820874471</v>
      </c>
      <c r="F11" s="11" t="n">
        <v>2251930</v>
      </c>
      <c r="G11" s="11" t="n">
        <f aca="false">F11/D11</f>
        <v>2553.20861678005</v>
      </c>
      <c r="H11" s="12" t="n">
        <v>1</v>
      </c>
    </row>
    <row r="12" customFormat="false" ht="15.75" hidden="false" customHeight="true" outlineLevel="0" collapsed="false">
      <c r="A12" s="13" t="s">
        <v>34</v>
      </c>
      <c r="B12" s="13" t="s">
        <v>35</v>
      </c>
      <c r="C12" s="13" t="n">
        <v>1287</v>
      </c>
      <c r="D12" s="13" t="n">
        <v>828</v>
      </c>
      <c r="E12" s="14" t="n">
        <f aca="false">D12/C12</f>
        <v>0.643356643356643</v>
      </c>
      <c r="F12" s="15" t="n">
        <v>1964750</v>
      </c>
      <c r="G12" s="15" t="n">
        <f aca="false">F12/D12</f>
        <v>2372.88647342995</v>
      </c>
      <c r="H12" s="16" t="n">
        <v>2</v>
      </c>
    </row>
    <row r="13" customFormat="false" ht="15.75" hidden="false" customHeight="true" outlineLevel="0" collapsed="false">
      <c r="A13" s="9" t="s">
        <v>36</v>
      </c>
      <c r="B13" s="9" t="s">
        <v>37</v>
      </c>
      <c r="C13" s="9" t="n">
        <v>1113</v>
      </c>
      <c r="D13" s="9" t="n">
        <v>691</v>
      </c>
      <c r="E13" s="10" t="n">
        <f aca="false">D13/C13</f>
        <v>0.620844564240791</v>
      </c>
      <c r="F13" s="11" t="n">
        <v>1960545</v>
      </c>
      <c r="G13" s="11" t="n">
        <f aca="false">F13/D13</f>
        <v>2837.25759768452</v>
      </c>
      <c r="H13" s="12" t="n">
        <v>3</v>
      </c>
    </row>
    <row r="14" customFormat="false" ht="15.75" hidden="false" customHeight="true" outlineLevel="0" collapsed="false">
      <c r="A14" s="13" t="s">
        <v>38</v>
      </c>
      <c r="B14" s="13" t="s">
        <v>35</v>
      </c>
      <c r="C14" s="13" t="n">
        <v>962</v>
      </c>
      <c r="D14" s="13" t="n">
        <v>610</v>
      </c>
      <c r="E14" s="14" t="n">
        <f aca="false">D14/C14</f>
        <v>0.634095634095634</v>
      </c>
      <c r="F14" s="15" t="n">
        <v>1603897</v>
      </c>
      <c r="G14" s="15" t="n">
        <f aca="false">F14/D14</f>
        <v>2629.3393442623</v>
      </c>
      <c r="H14" s="16" t="n">
        <v>4</v>
      </c>
    </row>
    <row r="15" customFormat="false" ht="15.75" hidden="false" customHeight="true" outlineLevel="0" collapsed="false">
      <c r="A15" s="9" t="s">
        <v>39</v>
      </c>
      <c r="B15" s="9" t="s">
        <v>37</v>
      </c>
      <c r="C15" s="9" t="n">
        <v>745</v>
      </c>
      <c r="D15" s="9" t="n">
        <v>480</v>
      </c>
      <c r="E15" s="10" t="n">
        <f aca="false">D15/C15</f>
        <v>0.644295302013423</v>
      </c>
      <c r="F15" s="11" t="n">
        <v>1130049</v>
      </c>
      <c r="G15" s="11" t="n">
        <f aca="false">F15/D15</f>
        <v>2354.26875</v>
      </c>
      <c r="H15" s="12" t="n">
        <v>5</v>
      </c>
    </row>
    <row r="16" customFormat="false" ht="15.75" hidden="false" customHeight="true" outlineLevel="0" collapsed="false">
      <c r="A16" s="13" t="s">
        <v>40</v>
      </c>
      <c r="B16" s="13" t="s">
        <v>33</v>
      </c>
      <c r="C16" s="13" t="n">
        <v>1186</v>
      </c>
      <c r="D16" s="13" t="n">
        <v>747</v>
      </c>
      <c r="E16" s="14" t="n">
        <f aca="false">D16/C16</f>
        <v>0.629848229342327</v>
      </c>
      <c r="F16" s="15" t="n">
        <v>1094363</v>
      </c>
      <c r="G16" s="15" t="n">
        <f aca="false">F16/D16</f>
        <v>1465.01070950469</v>
      </c>
      <c r="H16" s="16" t="n">
        <v>6</v>
      </c>
    </row>
  </sheetData>
  <mergeCells count="4">
    <mergeCell ref="A1:H1"/>
    <mergeCell ref="A2:H2"/>
    <mergeCell ref="A4:H4"/>
    <mergeCell ref="A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6" min="5" style="1" width="12"/>
    <col collapsed="false" customWidth="true" hidden="false" outlineLevel="0" max="7" min="7" style="1" width="10"/>
    <col collapsed="false" customWidth="true" hidden="false" outlineLevel="0" max="9" min="8" style="1" width="16"/>
  </cols>
  <sheetData>
    <row r="1" customFormat="false" ht="31.5" hidden="false" customHeight="true" outlineLevel="0" collapsed="false">
      <c r="A1" s="17" t="s">
        <v>41</v>
      </c>
      <c r="B1" s="17"/>
      <c r="C1" s="17"/>
      <c r="D1" s="17"/>
      <c r="E1" s="17"/>
      <c r="F1" s="17"/>
      <c r="G1" s="17"/>
      <c r="H1" s="17"/>
      <c r="I1" s="17"/>
    </row>
    <row r="2" customFormat="false" ht="13.5" hidden="false" customHeight="true" outlineLevel="0" collapsed="false">
      <c r="A2" s="18" t="s">
        <v>42</v>
      </c>
      <c r="B2" s="18"/>
      <c r="C2" s="18"/>
      <c r="D2" s="18"/>
      <c r="E2" s="18"/>
      <c r="F2" s="18"/>
      <c r="G2" s="18"/>
      <c r="H2" s="18"/>
      <c r="I2" s="18"/>
    </row>
    <row r="3" customFormat="false" ht="7.5" hidden="false" customHeight="true" outlineLevel="0" collapsed="false"/>
    <row r="4" customFormat="false" ht="18" hidden="false" customHeight="true" outlineLevel="0" collapsed="false">
      <c r="A4" s="8" t="s">
        <v>43</v>
      </c>
      <c r="B4" s="8" t="s">
        <v>28</v>
      </c>
      <c r="C4" s="8" t="s">
        <v>29</v>
      </c>
      <c r="D4" s="8" t="s">
        <v>30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</row>
    <row r="5" customFormat="false" ht="15" hidden="false" customHeight="true" outlineLevel="0" collapsed="false">
      <c r="A5" s="19" t="s">
        <v>44</v>
      </c>
      <c r="B5" s="19" t="s">
        <v>32</v>
      </c>
      <c r="C5" s="19" t="s">
        <v>33</v>
      </c>
      <c r="D5" s="20" t="n">
        <v>553</v>
      </c>
      <c r="E5" s="20" t="n">
        <v>349</v>
      </c>
      <c r="F5" s="20" t="n">
        <v>204</v>
      </c>
      <c r="G5" s="21" t="n">
        <f aca="false">E5/D5</f>
        <v>0.631103074141049</v>
      </c>
      <c r="H5" s="22" t="n">
        <v>1153214</v>
      </c>
      <c r="I5" s="22" t="n">
        <f aca="false">IF(E5&gt;0,H5/E5,0)</f>
        <v>3304.33810888252</v>
      </c>
    </row>
    <row r="6" customFormat="false" ht="15" hidden="false" customHeight="true" outlineLevel="0" collapsed="false">
      <c r="A6" s="13" t="s">
        <v>45</v>
      </c>
      <c r="B6" s="13" t="s">
        <v>38</v>
      </c>
      <c r="C6" s="13" t="s">
        <v>35</v>
      </c>
      <c r="D6" s="16" t="n">
        <v>347</v>
      </c>
      <c r="E6" s="16" t="n">
        <v>221</v>
      </c>
      <c r="F6" s="16" t="n">
        <v>126</v>
      </c>
      <c r="G6" s="14" t="n">
        <f aca="false">E6/D6</f>
        <v>0.636887608069164</v>
      </c>
      <c r="H6" s="15" t="n">
        <v>478396</v>
      </c>
      <c r="I6" s="15" t="n">
        <f aca="false">IF(E6&gt;0,H6/E6,0)</f>
        <v>2164.68778280543</v>
      </c>
    </row>
    <row r="7" customFormat="false" ht="15" hidden="false" customHeight="true" outlineLevel="0" collapsed="false">
      <c r="A7" s="19" t="s">
        <v>46</v>
      </c>
      <c r="B7" s="19" t="s">
        <v>34</v>
      </c>
      <c r="C7" s="19" t="s">
        <v>35</v>
      </c>
      <c r="D7" s="20" t="n">
        <v>335</v>
      </c>
      <c r="E7" s="20" t="n">
        <v>209</v>
      </c>
      <c r="F7" s="20" t="n">
        <v>126</v>
      </c>
      <c r="G7" s="21" t="n">
        <f aca="false">E7/D7</f>
        <v>0.623880597014925</v>
      </c>
      <c r="H7" s="22" t="n">
        <v>454298</v>
      </c>
      <c r="I7" s="22" t="n">
        <f aca="false">IF(E7&gt;0,H7/E7,0)</f>
        <v>2173.67464114833</v>
      </c>
    </row>
    <row r="8" customFormat="false" ht="15" hidden="false" customHeight="true" outlineLevel="0" collapsed="false">
      <c r="A8" s="13" t="s">
        <v>47</v>
      </c>
      <c r="B8" s="13" t="s">
        <v>36</v>
      </c>
      <c r="C8" s="13" t="s">
        <v>37</v>
      </c>
      <c r="D8" s="16" t="n">
        <v>261</v>
      </c>
      <c r="E8" s="16" t="n">
        <v>163</v>
      </c>
      <c r="F8" s="16" t="n">
        <v>98</v>
      </c>
      <c r="G8" s="14" t="n">
        <f aca="false">E8/D8</f>
        <v>0.624521072796935</v>
      </c>
      <c r="H8" s="15" t="n">
        <v>450489</v>
      </c>
      <c r="I8" s="15" t="n">
        <f aca="false">IF(E8&gt;0,H8/E8,0)</f>
        <v>2763.73619631902</v>
      </c>
    </row>
    <row r="9" customFormat="false" ht="15" hidden="false" customHeight="true" outlineLevel="0" collapsed="false">
      <c r="A9" s="19" t="s">
        <v>48</v>
      </c>
      <c r="B9" s="19" t="s">
        <v>36</v>
      </c>
      <c r="C9" s="19" t="s">
        <v>37</v>
      </c>
      <c r="D9" s="20" t="n">
        <v>275</v>
      </c>
      <c r="E9" s="20" t="n">
        <v>158</v>
      </c>
      <c r="F9" s="20" t="n">
        <v>117</v>
      </c>
      <c r="G9" s="21" t="n">
        <f aca="false">E9/D9</f>
        <v>0.574545454545455</v>
      </c>
      <c r="H9" s="22" t="n">
        <v>445860</v>
      </c>
      <c r="I9" s="22" t="n">
        <f aca="false">IF(E9&gt;0,H9/E9,0)</f>
        <v>2821.89873417722</v>
      </c>
    </row>
    <row r="10" customFormat="false" ht="15" hidden="false" customHeight="true" outlineLevel="0" collapsed="false">
      <c r="A10" s="13" t="s">
        <v>49</v>
      </c>
      <c r="B10" s="13" t="s">
        <v>36</v>
      </c>
      <c r="C10" s="13" t="s">
        <v>37</v>
      </c>
      <c r="D10" s="16" t="n">
        <v>237</v>
      </c>
      <c r="E10" s="16" t="n">
        <v>155</v>
      </c>
      <c r="F10" s="16" t="n">
        <v>82</v>
      </c>
      <c r="G10" s="14" t="n">
        <f aca="false">E10/D10</f>
        <v>0.654008438818565</v>
      </c>
      <c r="H10" s="15" t="n">
        <v>438336</v>
      </c>
      <c r="I10" s="15" t="n">
        <f aca="false">IF(E10&gt;0,H10/E10,0)</f>
        <v>2827.97419354839</v>
      </c>
    </row>
    <row r="11" customFormat="false" ht="15" hidden="false" customHeight="true" outlineLevel="0" collapsed="false">
      <c r="A11" s="19" t="s">
        <v>50</v>
      </c>
      <c r="B11" s="19" t="s">
        <v>34</v>
      </c>
      <c r="C11" s="19" t="s">
        <v>35</v>
      </c>
      <c r="D11" s="20" t="n">
        <v>261</v>
      </c>
      <c r="E11" s="20" t="n">
        <v>161</v>
      </c>
      <c r="F11" s="20" t="n">
        <v>100</v>
      </c>
      <c r="G11" s="21" t="n">
        <f aca="false">E11/D11</f>
        <v>0.616858237547893</v>
      </c>
      <c r="H11" s="22" t="n">
        <v>430068</v>
      </c>
      <c r="I11" s="22" t="n">
        <f aca="false">IF(E11&gt;0,H11/E11,0)</f>
        <v>2671.2298136646</v>
      </c>
    </row>
    <row r="12" customFormat="false" ht="15" hidden="false" customHeight="true" outlineLevel="0" collapsed="false">
      <c r="A12" s="13" t="s">
        <v>51</v>
      </c>
      <c r="B12" s="13" t="s">
        <v>39</v>
      </c>
      <c r="C12" s="13" t="s">
        <v>37</v>
      </c>
      <c r="D12" s="16" t="n">
        <v>229</v>
      </c>
      <c r="E12" s="16" t="n">
        <v>150</v>
      </c>
      <c r="F12" s="16" t="n">
        <v>79</v>
      </c>
      <c r="G12" s="14" t="n">
        <f aca="false">E12/D12</f>
        <v>0.655021834061135</v>
      </c>
      <c r="H12" s="15" t="n">
        <v>421036</v>
      </c>
      <c r="I12" s="15" t="n">
        <f aca="false">IF(E12&gt;0,H12/E12,0)</f>
        <v>2806.90666666667</v>
      </c>
    </row>
    <row r="13" customFormat="false" ht="15" hidden="false" customHeight="true" outlineLevel="0" collapsed="false">
      <c r="A13" s="19" t="s">
        <v>52</v>
      </c>
      <c r="B13" s="19" t="s">
        <v>34</v>
      </c>
      <c r="C13" s="19" t="s">
        <v>35</v>
      </c>
      <c r="D13" s="20" t="n">
        <v>206</v>
      </c>
      <c r="E13" s="20" t="n">
        <v>135</v>
      </c>
      <c r="F13" s="20" t="n">
        <v>71</v>
      </c>
      <c r="G13" s="21" t="n">
        <f aca="false">E13/D13</f>
        <v>0.655339805825243</v>
      </c>
      <c r="H13" s="22" t="n">
        <v>413533</v>
      </c>
      <c r="I13" s="22" t="n">
        <f aca="false">IF(E13&gt;0,H13/E13,0)</f>
        <v>3063.20740740741</v>
      </c>
    </row>
    <row r="14" customFormat="false" ht="15" hidden="false" customHeight="true" outlineLevel="0" collapsed="false">
      <c r="A14" s="13" t="s">
        <v>53</v>
      </c>
      <c r="B14" s="13" t="s">
        <v>36</v>
      </c>
      <c r="C14" s="13" t="s">
        <v>37</v>
      </c>
      <c r="D14" s="16" t="n">
        <v>187</v>
      </c>
      <c r="E14" s="16" t="n">
        <v>114</v>
      </c>
      <c r="F14" s="16" t="n">
        <v>73</v>
      </c>
      <c r="G14" s="14" t="n">
        <f aca="false">E14/D14</f>
        <v>0.609625668449198</v>
      </c>
      <c r="H14" s="15" t="n">
        <v>364229</v>
      </c>
      <c r="I14" s="15" t="n">
        <f aca="false">IF(E14&gt;0,H14/E14,0)</f>
        <v>3194.99122807018</v>
      </c>
    </row>
    <row r="15" customFormat="false" ht="15" hidden="false" customHeight="true" outlineLevel="0" collapsed="false">
      <c r="A15" s="19" t="s">
        <v>54</v>
      </c>
      <c r="B15" s="19" t="s">
        <v>34</v>
      </c>
      <c r="C15" s="19" t="s">
        <v>35</v>
      </c>
      <c r="D15" s="20" t="n">
        <v>213</v>
      </c>
      <c r="E15" s="20" t="n">
        <v>149</v>
      </c>
      <c r="F15" s="20" t="n">
        <v>64</v>
      </c>
      <c r="G15" s="21" t="n">
        <f aca="false">E15/D15</f>
        <v>0.699530516431925</v>
      </c>
      <c r="H15" s="22" t="n">
        <v>350395</v>
      </c>
      <c r="I15" s="22" t="n">
        <f aca="false">IF(E15&gt;0,H15/E15,0)</f>
        <v>2351.64429530201</v>
      </c>
    </row>
    <row r="16" customFormat="false" ht="15" hidden="false" customHeight="true" outlineLevel="0" collapsed="false">
      <c r="A16" s="13" t="s">
        <v>55</v>
      </c>
      <c r="B16" s="13" t="s">
        <v>32</v>
      </c>
      <c r="C16" s="13" t="s">
        <v>33</v>
      </c>
      <c r="D16" s="16" t="n">
        <v>232</v>
      </c>
      <c r="E16" s="16" t="n">
        <v>135</v>
      </c>
      <c r="F16" s="16" t="n">
        <v>97</v>
      </c>
      <c r="G16" s="14" t="n">
        <f aca="false">E16/D16</f>
        <v>0.581896551724138</v>
      </c>
      <c r="H16" s="15" t="n">
        <v>345674</v>
      </c>
      <c r="I16" s="15" t="n">
        <f aca="false">IF(E16&gt;0,H16/E16,0)</f>
        <v>2560.54814814815</v>
      </c>
    </row>
    <row r="17" customFormat="false" ht="15" hidden="false" customHeight="true" outlineLevel="0" collapsed="false">
      <c r="A17" s="19" t="s">
        <v>56</v>
      </c>
      <c r="B17" s="19" t="s">
        <v>38</v>
      </c>
      <c r="C17" s="19" t="s">
        <v>35</v>
      </c>
      <c r="D17" s="20" t="n">
        <v>227</v>
      </c>
      <c r="E17" s="20" t="n">
        <v>130</v>
      </c>
      <c r="F17" s="20" t="n">
        <v>97</v>
      </c>
      <c r="G17" s="21" t="n">
        <f aca="false">E17/D17</f>
        <v>0.572687224669604</v>
      </c>
      <c r="H17" s="22" t="n">
        <v>328792</v>
      </c>
      <c r="I17" s="22" t="n">
        <f aca="false">IF(E17&gt;0,H17/E17,0)</f>
        <v>2529.16923076923</v>
      </c>
    </row>
    <row r="18" customFormat="false" ht="15" hidden="false" customHeight="true" outlineLevel="0" collapsed="false">
      <c r="A18" s="13" t="s">
        <v>57</v>
      </c>
      <c r="B18" s="13" t="s">
        <v>34</v>
      </c>
      <c r="C18" s="13" t="s">
        <v>35</v>
      </c>
      <c r="D18" s="16" t="n">
        <v>272</v>
      </c>
      <c r="E18" s="16" t="n">
        <v>174</v>
      </c>
      <c r="F18" s="16" t="n">
        <v>98</v>
      </c>
      <c r="G18" s="14" t="n">
        <f aca="false">E18/D18</f>
        <v>0.639705882352941</v>
      </c>
      <c r="H18" s="15" t="n">
        <v>316456</v>
      </c>
      <c r="I18" s="15" t="n">
        <f aca="false">IF(E18&gt;0,H18/E18,0)</f>
        <v>1818.71264367816</v>
      </c>
    </row>
    <row r="19" customFormat="false" ht="15" hidden="false" customHeight="true" outlineLevel="0" collapsed="false">
      <c r="A19" s="19" t="s">
        <v>58</v>
      </c>
      <c r="B19" s="19" t="s">
        <v>32</v>
      </c>
      <c r="C19" s="19" t="s">
        <v>33</v>
      </c>
      <c r="D19" s="20" t="n">
        <v>194</v>
      </c>
      <c r="E19" s="20" t="n">
        <v>122</v>
      </c>
      <c r="F19" s="20" t="n">
        <v>72</v>
      </c>
      <c r="G19" s="21" t="n">
        <f aca="false">E19/D19</f>
        <v>0.628865979381443</v>
      </c>
      <c r="H19" s="22" t="n">
        <v>291195</v>
      </c>
      <c r="I19" s="22" t="n">
        <f aca="false">IF(E19&gt;0,H19/E19,0)</f>
        <v>2386.84426229508</v>
      </c>
    </row>
    <row r="20" customFormat="false" ht="15" hidden="false" customHeight="true" outlineLevel="0" collapsed="false">
      <c r="A20" s="13" t="s">
        <v>59</v>
      </c>
      <c r="B20" s="13" t="s">
        <v>38</v>
      </c>
      <c r="C20" s="13" t="s">
        <v>35</v>
      </c>
      <c r="D20" s="16" t="n">
        <v>126</v>
      </c>
      <c r="E20" s="16" t="n">
        <v>80</v>
      </c>
      <c r="F20" s="16" t="n">
        <v>46</v>
      </c>
      <c r="G20" s="14" t="n">
        <f aca="false">E20/D20</f>
        <v>0.634920634920635</v>
      </c>
      <c r="H20" s="15" t="n">
        <v>289195</v>
      </c>
      <c r="I20" s="15" t="n">
        <f aca="false">IF(E20&gt;0,H20/E20,0)</f>
        <v>3614.9375</v>
      </c>
    </row>
    <row r="21" customFormat="false" ht="15" hidden="false" customHeight="true" outlineLevel="0" collapsed="false">
      <c r="A21" s="19" t="s">
        <v>60</v>
      </c>
      <c r="B21" s="19" t="s">
        <v>32</v>
      </c>
      <c r="C21" s="19" t="s">
        <v>33</v>
      </c>
      <c r="D21" s="20" t="n">
        <v>264</v>
      </c>
      <c r="E21" s="20" t="n">
        <v>171</v>
      </c>
      <c r="F21" s="20" t="n">
        <v>93</v>
      </c>
      <c r="G21" s="21" t="n">
        <f aca="false">E21/D21</f>
        <v>0.647727272727273</v>
      </c>
      <c r="H21" s="22" t="n">
        <v>284886</v>
      </c>
      <c r="I21" s="22" t="n">
        <f aca="false">IF(E21&gt;0,H21/E21,0)</f>
        <v>1666</v>
      </c>
    </row>
    <row r="22" customFormat="false" ht="15" hidden="false" customHeight="true" outlineLevel="0" collapsed="false">
      <c r="A22" s="13" t="s">
        <v>61</v>
      </c>
      <c r="B22" s="13" t="s">
        <v>40</v>
      </c>
      <c r="C22" s="13" t="s">
        <v>33</v>
      </c>
      <c r="D22" s="16" t="n">
        <v>336</v>
      </c>
      <c r="E22" s="16" t="n">
        <v>208</v>
      </c>
      <c r="F22" s="16" t="n">
        <v>128</v>
      </c>
      <c r="G22" s="14" t="n">
        <f aca="false">E22/D22</f>
        <v>0.619047619047619</v>
      </c>
      <c r="H22" s="15" t="n">
        <v>275056</v>
      </c>
      <c r="I22" s="15" t="n">
        <f aca="false">IF(E22&gt;0,H22/E22,0)</f>
        <v>1322.38461538462</v>
      </c>
    </row>
    <row r="23" customFormat="false" ht="15" hidden="false" customHeight="true" outlineLevel="0" collapsed="false">
      <c r="A23" s="19" t="s">
        <v>62</v>
      </c>
      <c r="B23" s="19" t="s">
        <v>38</v>
      </c>
      <c r="C23" s="19" t="s">
        <v>35</v>
      </c>
      <c r="D23" s="20" t="n">
        <v>152</v>
      </c>
      <c r="E23" s="20" t="n">
        <v>107</v>
      </c>
      <c r="F23" s="20" t="n">
        <v>45</v>
      </c>
      <c r="G23" s="21" t="n">
        <f aca="false">E23/D23</f>
        <v>0.703947368421053</v>
      </c>
      <c r="H23" s="22" t="n">
        <v>272111</v>
      </c>
      <c r="I23" s="22" t="n">
        <f aca="false">IF(E23&gt;0,H23/E23,0)</f>
        <v>2543.09345794393</v>
      </c>
    </row>
    <row r="24" customFormat="false" ht="15" hidden="false" customHeight="true" outlineLevel="0" collapsed="false">
      <c r="A24" s="13" t="s">
        <v>63</v>
      </c>
      <c r="B24" s="13" t="s">
        <v>36</v>
      </c>
      <c r="C24" s="13" t="s">
        <v>37</v>
      </c>
      <c r="D24" s="16" t="n">
        <v>153</v>
      </c>
      <c r="E24" s="16" t="n">
        <v>101</v>
      </c>
      <c r="F24" s="16" t="n">
        <v>52</v>
      </c>
      <c r="G24" s="14" t="n">
        <f aca="false">E24/D24</f>
        <v>0.660130718954248</v>
      </c>
      <c r="H24" s="15" t="n">
        <v>261631</v>
      </c>
      <c r="I24" s="15" t="n">
        <f aca="false">IF(E24&gt;0,H24/E24,0)</f>
        <v>2590.40594059406</v>
      </c>
    </row>
    <row r="25" customFormat="false" ht="15" hidden="false" customHeight="true" outlineLevel="0" collapsed="false">
      <c r="A25" s="19" t="s">
        <v>64</v>
      </c>
      <c r="B25" s="19" t="s">
        <v>38</v>
      </c>
      <c r="C25" s="19" t="s">
        <v>35</v>
      </c>
      <c r="D25" s="20" t="n">
        <v>110</v>
      </c>
      <c r="E25" s="20" t="n">
        <v>72</v>
      </c>
      <c r="F25" s="20" t="n">
        <v>38</v>
      </c>
      <c r="G25" s="21" t="n">
        <f aca="false">E25/D25</f>
        <v>0.654545454545455</v>
      </c>
      <c r="H25" s="22" t="n">
        <v>235403</v>
      </c>
      <c r="I25" s="22" t="n">
        <f aca="false">IF(E25&gt;0,H25/E25,0)</f>
        <v>3269.48611111111</v>
      </c>
    </row>
    <row r="26" customFormat="false" ht="15" hidden="false" customHeight="true" outlineLevel="0" collapsed="false">
      <c r="A26" s="13" t="s">
        <v>65</v>
      </c>
      <c r="B26" s="13" t="s">
        <v>39</v>
      </c>
      <c r="C26" s="13" t="s">
        <v>37</v>
      </c>
      <c r="D26" s="16" t="n">
        <v>121</v>
      </c>
      <c r="E26" s="16" t="n">
        <v>78</v>
      </c>
      <c r="F26" s="16" t="n">
        <v>43</v>
      </c>
      <c r="G26" s="14" t="n">
        <f aca="false">E26/D26</f>
        <v>0.644628099173554</v>
      </c>
      <c r="H26" s="15" t="n">
        <v>230169</v>
      </c>
      <c r="I26" s="15" t="n">
        <f aca="false">IF(E26&gt;0,H26/E26,0)</f>
        <v>2950.88461538462</v>
      </c>
    </row>
    <row r="27" customFormat="false" ht="15" hidden="false" customHeight="true" outlineLevel="0" collapsed="false">
      <c r="A27" s="19" t="s">
        <v>66</v>
      </c>
      <c r="B27" s="19" t="s">
        <v>40</v>
      </c>
      <c r="C27" s="19" t="s">
        <v>33</v>
      </c>
      <c r="D27" s="20" t="n">
        <v>160</v>
      </c>
      <c r="E27" s="20" t="n">
        <v>107</v>
      </c>
      <c r="F27" s="20" t="n">
        <v>53</v>
      </c>
      <c r="G27" s="21" t="n">
        <f aca="false">E27/D27</f>
        <v>0.66875</v>
      </c>
      <c r="H27" s="22" t="n">
        <v>229800</v>
      </c>
      <c r="I27" s="22" t="n">
        <f aca="false">IF(E27&gt;0,H27/E27,0)</f>
        <v>2147.66355140187</v>
      </c>
    </row>
    <row r="28" customFormat="false" ht="15" hidden="false" customHeight="true" outlineLevel="0" collapsed="false">
      <c r="A28" s="13" t="s">
        <v>67</v>
      </c>
      <c r="B28" s="13" t="s">
        <v>40</v>
      </c>
      <c r="C28" s="13" t="s">
        <v>33</v>
      </c>
      <c r="D28" s="16" t="n">
        <v>195</v>
      </c>
      <c r="E28" s="16" t="n">
        <v>129</v>
      </c>
      <c r="F28" s="16" t="n">
        <v>66</v>
      </c>
      <c r="G28" s="14" t="n">
        <f aca="false">E28/D28</f>
        <v>0.661538461538462</v>
      </c>
      <c r="H28" s="15" t="n">
        <v>207182</v>
      </c>
      <c r="I28" s="15" t="n">
        <f aca="false">IF(E28&gt;0,H28/E28,0)</f>
        <v>1606.06201550388</v>
      </c>
    </row>
    <row r="29" customFormat="false" ht="15" hidden="false" customHeight="true" outlineLevel="0" collapsed="false">
      <c r="A29" s="19" t="s">
        <v>68</v>
      </c>
      <c r="B29" s="19" t="s">
        <v>39</v>
      </c>
      <c r="C29" s="19" t="s">
        <v>37</v>
      </c>
      <c r="D29" s="20" t="n">
        <v>123</v>
      </c>
      <c r="E29" s="20" t="n">
        <v>75</v>
      </c>
      <c r="F29" s="20" t="n">
        <v>48</v>
      </c>
      <c r="G29" s="21" t="n">
        <f aca="false">E29/D29</f>
        <v>0.609756097560976</v>
      </c>
      <c r="H29" s="22" t="n">
        <v>197773</v>
      </c>
      <c r="I29" s="22" t="n">
        <f aca="false">IF(E29&gt;0,H29/E29,0)</f>
        <v>2636.97333333333</v>
      </c>
    </row>
    <row r="30" customFormat="false" ht="15" hidden="false" customHeight="true" outlineLevel="0" collapsed="false">
      <c r="A30" s="13" t="s">
        <v>69</v>
      </c>
      <c r="B30" s="13" t="s">
        <v>40</v>
      </c>
      <c r="C30" s="13" t="s">
        <v>33</v>
      </c>
      <c r="D30" s="16" t="n">
        <v>231</v>
      </c>
      <c r="E30" s="16" t="n">
        <v>127</v>
      </c>
      <c r="F30" s="16" t="n">
        <v>104</v>
      </c>
      <c r="G30" s="14" t="n">
        <f aca="false">E30/D30</f>
        <v>0.54978354978355</v>
      </c>
      <c r="H30" s="15" t="n">
        <v>194632</v>
      </c>
      <c r="I30" s="15" t="n">
        <f aca="false">IF(E30&gt;0,H30/E30,0)</f>
        <v>1532.53543307087</v>
      </c>
    </row>
    <row r="31" customFormat="false" ht="15" hidden="false" customHeight="true" outlineLevel="0" collapsed="false">
      <c r="A31" s="19" t="s">
        <v>70</v>
      </c>
      <c r="B31" s="19" t="s">
        <v>40</v>
      </c>
      <c r="C31" s="19" t="s">
        <v>33</v>
      </c>
      <c r="D31" s="20" t="n">
        <v>264</v>
      </c>
      <c r="E31" s="20" t="n">
        <v>176</v>
      </c>
      <c r="F31" s="20" t="n">
        <v>88</v>
      </c>
      <c r="G31" s="21" t="n">
        <f aca="false">E31/D31</f>
        <v>0.666666666666667</v>
      </c>
      <c r="H31" s="22" t="n">
        <v>187693</v>
      </c>
      <c r="I31" s="22" t="n">
        <f aca="false">IF(E31&gt;0,H31/E31,0)</f>
        <v>1066.4375</v>
      </c>
    </row>
    <row r="32" customFormat="false" ht="15" hidden="false" customHeight="true" outlineLevel="0" collapsed="false">
      <c r="A32" s="13" t="s">
        <v>71</v>
      </c>
      <c r="B32" s="13" t="s">
        <v>32</v>
      </c>
      <c r="C32" s="13" t="s">
        <v>33</v>
      </c>
      <c r="D32" s="16" t="n">
        <v>175</v>
      </c>
      <c r="E32" s="16" t="n">
        <v>105</v>
      </c>
      <c r="F32" s="16" t="n">
        <v>70</v>
      </c>
      <c r="G32" s="14" t="n">
        <f aca="false">E32/D32</f>
        <v>0.6</v>
      </c>
      <c r="H32" s="15" t="n">
        <v>176961</v>
      </c>
      <c r="I32" s="15" t="n">
        <f aca="false">IF(E32&gt;0,H32/E32,0)</f>
        <v>1685.34285714286</v>
      </c>
    </row>
    <row r="33" customFormat="false" ht="15" hidden="false" customHeight="true" outlineLevel="0" collapsed="false">
      <c r="A33" s="19" t="s">
        <v>72</v>
      </c>
      <c r="B33" s="19" t="s">
        <v>39</v>
      </c>
      <c r="C33" s="19" t="s">
        <v>37</v>
      </c>
      <c r="D33" s="20" t="n">
        <v>79</v>
      </c>
      <c r="E33" s="20" t="n">
        <v>55</v>
      </c>
      <c r="F33" s="20" t="n">
        <v>24</v>
      </c>
      <c r="G33" s="21" t="n">
        <f aca="false">E33/D33</f>
        <v>0.69620253164557</v>
      </c>
      <c r="H33" s="22" t="n">
        <v>157640</v>
      </c>
      <c r="I33" s="22" t="n">
        <f aca="false">IF(E33&gt;0,H33/E33,0)</f>
        <v>2866.18181818182</v>
      </c>
    </row>
    <row r="34" customFormat="false" ht="15" hidden="false" customHeight="true" outlineLevel="0" collapsed="false">
      <c r="A34" s="13" t="s">
        <v>73</v>
      </c>
      <c r="B34" s="13" t="s">
        <v>39</v>
      </c>
      <c r="C34" s="13" t="s">
        <v>37</v>
      </c>
      <c r="D34" s="16" t="n">
        <v>193</v>
      </c>
      <c r="E34" s="16" t="n">
        <v>122</v>
      </c>
      <c r="F34" s="16" t="n">
        <v>71</v>
      </c>
      <c r="G34" s="14" t="n">
        <f aca="false">E34/D34</f>
        <v>0.632124352331606</v>
      </c>
      <c r="H34" s="15" t="n">
        <v>123431</v>
      </c>
      <c r="I34" s="15" t="n">
        <f aca="false">IF(E34&gt;0,H34/E34,0)</f>
        <v>1011.72950819672</v>
      </c>
    </row>
    <row r="35" customFormat="false" ht="18" hidden="false" customHeight="true" outlineLevel="0" collapsed="false">
      <c r="A35" s="23" t="s">
        <v>74</v>
      </c>
      <c r="B35" s="23"/>
      <c r="C35" s="23"/>
      <c r="D35" s="23" t="n">
        <f aca="false">SUM(D5:D34)</f>
        <v>6711</v>
      </c>
      <c r="E35" s="23" t="n">
        <f aca="false">SUM(E5:E34)</f>
        <v>4238</v>
      </c>
      <c r="F35" s="23" t="n">
        <f aca="false">SUM(F5:F34)</f>
        <v>2473</v>
      </c>
      <c r="G35" s="24" t="n">
        <f aca="false">E35/D35</f>
        <v>0.631500521531814</v>
      </c>
      <c r="H35" s="25" t="n">
        <f aca="false">SUM(H5:H34)</f>
        <v>10005534</v>
      </c>
      <c r="I35" s="25" t="n">
        <f aca="false">H35/E35</f>
        <v>2360.90939122227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16"/>
    <col collapsed="false" customWidth="true" hidden="false" outlineLevel="0" max="8" min="8" style="1" width="17"/>
  </cols>
  <sheetData>
    <row r="1" customFormat="false" ht="31.5" hidden="false" customHeight="true" outlineLevel="0" collapsed="false">
      <c r="A1" s="17" t="s">
        <v>75</v>
      </c>
      <c r="B1" s="17"/>
      <c r="C1" s="17"/>
      <c r="D1" s="17"/>
      <c r="E1" s="17"/>
      <c r="F1" s="17"/>
      <c r="G1" s="17"/>
      <c r="H1" s="17"/>
    </row>
    <row r="2" customFormat="false" ht="13.5" hidden="false" customHeight="true" outlineLevel="0" collapsed="false">
      <c r="A2" s="18" t="s">
        <v>42</v>
      </c>
      <c r="B2" s="18"/>
      <c r="C2" s="18"/>
      <c r="D2" s="18"/>
      <c r="E2" s="18"/>
      <c r="F2" s="18"/>
      <c r="G2" s="18"/>
      <c r="H2" s="18"/>
    </row>
    <row r="3" customFormat="false" ht="7.5" hidden="false" customHeight="true" outlineLevel="0" collapsed="false"/>
    <row r="4" customFormat="false" ht="18" hidden="false" customHeight="true" outlineLevel="0" collapsed="false">
      <c r="A4" s="8" t="s">
        <v>76</v>
      </c>
      <c r="B4" s="8" t="s">
        <v>77</v>
      </c>
      <c r="C4" s="8" t="s">
        <v>78</v>
      </c>
      <c r="D4" s="8" t="s">
        <v>30</v>
      </c>
      <c r="E4" s="8" t="s">
        <v>4</v>
      </c>
      <c r="F4" s="8" t="s">
        <v>6</v>
      </c>
      <c r="G4" s="8" t="s">
        <v>7</v>
      </c>
      <c r="H4" s="8" t="s">
        <v>79</v>
      </c>
    </row>
    <row r="5" customFormat="false" ht="15" hidden="false" customHeight="true" outlineLevel="0" collapsed="false">
      <c r="A5" s="19" t="s">
        <v>80</v>
      </c>
      <c r="B5" s="26" t="s">
        <v>81</v>
      </c>
      <c r="C5" s="22" t="n">
        <v>5482</v>
      </c>
      <c r="D5" s="20" t="n">
        <v>745</v>
      </c>
      <c r="E5" s="20" t="n">
        <v>479</v>
      </c>
      <c r="F5" s="21" t="n">
        <f aca="false">E5/D5</f>
        <v>0.642953020134228</v>
      </c>
      <c r="G5" s="22" t="n">
        <v>2629651</v>
      </c>
      <c r="H5" s="22" t="n">
        <f aca="false">IF(E5&gt;0,G5/E5,0)</f>
        <v>5489.87682672234</v>
      </c>
    </row>
    <row r="6" customFormat="false" ht="15" hidden="false" customHeight="true" outlineLevel="0" collapsed="false">
      <c r="A6" s="13" t="s">
        <v>82</v>
      </c>
      <c r="B6" s="27" t="s">
        <v>83</v>
      </c>
      <c r="C6" s="15" t="n">
        <v>3393</v>
      </c>
      <c r="D6" s="16" t="n">
        <v>1084</v>
      </c>
      <c r="E6" s="16" t="n">
        <v>654</v>
      </c>
      <c r="F6" s="14" t="n">
        <f aca="false">E6/D6</f>
        <v>0.603321033210332</v>
      </c>
      <c r="G6" s="15" t="n">
        <v>2216387</v>
      </c>
      <c r="H6" s="15" t="n">
        <f aca="false">IF(E6&gt;0,G6/E6,0)</f>
        <v>3388.97094801223</v>
      </c>
    </row>
    <row r="7" customFormat="false" ht="15" hidden="false" customHeight="true" outlineLevel="0" collapsed="false">
      <c r="A7" s="19" t="s">
        <v>84</v>
      </c>
      <c r="B7" s="26" t="s">
        <v>81</v>
      </c>
      <c r="C7" s="22" t="n">
        <v>1096</v>
      </c>
      <c r="D7" s="20" t="n">
        <v>1051</v>
      </c>
      <c r="E7" s="20" t="n">
        <v>653</v>
      </c>
      <c r="F7" s="21" t="n">
        <f aca="false">E7/D7</f>
        <v>0.621313035204567</v>
      </c>
      <c r="G7" s="22" t="n">
        <v>705275</v>
      </c>
      <c r="H7" s="22" t="n">
        <f aca="false">IF(E7&gt;0,G7/E7,0)</f>
        <v>1080.05359877489</v>
      </c>
    </row>
    <row r="8" customFormat="false" ht="15" hidden="false" customHeight="true" outlineLevel="0" collapsed="false">
      <c r="A8" s="13" t="s">
        <v>85</v>
      </c>
      <c r="B8" s="28" t="s">
        <v>81</v>
      </c>
      <c r="C8" s="15" t="n">
        <v>550</v>
      </c>
      <c r="D8" s="16" t="n">
        <v>1436</v>
      </c>
      <c r="E8" s="16" t="n">
        <v>915</v>
      </c>
      <c r="F8" s="14" t="n">
        <f aca="false">E8/D8</f>
        <v>0.637186629526462</v>
      </c>
      <c r="G8" s="15" t="n">
        <v>499263</v>
      </c>
      <c r="H8" s="15" t="n">
        <f aca="false">IF(E8&gt;0,G8/E8,0)</f>
        <v>545.64262295082</v>
      </c>
    </row>
    <row r="9" customFormat="false" ht="15" hidden="false" customHeight="true" outlineLevel="0" collapsed="false">
      <c r="A9" s="19" t="s">
        <v>86</v>
      </c>
      <c r="B9" s="29" t="s">
        <v>87</v>
      </c>
      <c r="C9" s="22" t="n">
        <v>26768</v>
      </c>
      <c r="D9" s="20" t="n">
        <v>25</v>
      </c>
      <c r="E9" s="20" t="n">
        <v>15</v>
      </c>
      <c r="F9" s="21" t="n">
        <f aca="false">E9/D9</f>
        <v>0.6</v>
      </c>
      <c r="G9" s="22" t="n">
        <v>400612</v>
      </c>
      <c r="H9" s="22" t="n">
        <f aca="false">IF(E9&gt;0,G9/E9,0)</f>
        <v>26707.4666666667</v>
      </c>
    </row>
    <row r="10" customFormat="false" ht="15" hidden="false" customHeight="true" outlineLevel="0" collapsed="false">
      <c r="A10" s="13" t="s">
        <v>88</v>
      </c>
      <c r="B10" s="27" t="s">
        <v>83</v>
      </c>
      <c r="C10" s="15" t="n">
        <v>55</v>
      </c>
      <c r="D10" s="16" t="n">
        <v>1223</v>
      </c>
      <c r="E10" s="16" t="n">
        <v>793</v>
      </c>
      <c r="F10" s="14" t="n">
        <f aca="false">E10/D10</f>
        <v>0.648405560098119</v>
      </c>
      <c r="G10" s="15" t="n">
        <v>43768</v>
      </c>
      <c r="H10" s="15" t="n">
        <f aca="false">IF(E10&gt;0,G10/E10,0)</f>
        <v>55.1929382093317</v>
      </c>
    </row>
    <row r="11" customFormat="false" ht="18" hidden="false" customHeight="true" outlineLevel="0" collapsed="false">
      <c r="A11" s="23" t="s">
        <v>74</v>
      </c>
      <c r="B11" s="23"/>
      <c r="C11" s="25"/>
      <c r="D11" s="23" t="n">
        <f aca="false">SUM(D5:D10)</f>
        <v>5564</v>
      </c>
      <c r="E11" s="23" t="n">
        <f aca="false">SUM(E5:E10)</f>
        <v>3509</v>
      </c>
      <c r="F11" s="24" t="n">
        <f aca="false">E11/D11</f>
        <v>0.630661394680086</v>
      </c>
      <c r="G11" s="25" t="n">
        <f aca="false">SUM(G5:G10)</f>
        <v>6494956</v>
      </c>
      <c r="H11" s="25" t="n">
        <f aca="false">G11/E11</f>
        <v>1850.94214876033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3"/>
    <col collapsed="false" customWidth="true" hidden="false" outlineLevel="0" max="5" min="5" style="1" width="20"/>
    <col collapsed="false" customWidth="true" hidden="false" outlineLevel="0" max="7" min="6" style="1" width="16"/>
  </cols>
  <sheetData>
    <row r="1" customFormat="false" ht="31.5" hidden="false" customHeight="true" outlineLevel="0" collapsed="false">
      <c r="A1" s="17" t="s">
        <v>89</v>
      </c>
      <c r="B1" s="17"/>
      <c r="C1" s="17"/>
      <c r="D1" s="17"/>
      <c r="E1" s="17"/>
      <c r="F1" s="17"/>
      <c r="G1" s="17"/>
    </row>
    <row r="2" customFormat="false" ht="13.5" hidden="false" customHeight="true" outlineLevel="0" collapsed="false">
      <c r="A2" s="18" t="s">
        <v>90</v>
      </c>
      <c r="B2" s="18"/>
      <c r="C2" s="18"/>
      <c r="D2" s="18"/>
      <c r="E2" s="18"/>
      <c r="F2" s="18"/>
      <c r="G2" s="18"/>
    </row>
    <row r="3" customFormat="false" ht="7.5" hidden="false" customHeight="true" outlineLevel="0" collapsed="false"/>
    <row r="4" customFormat="false" ht="18" hidden="false" customHeight="true" outlineLevel="0" collapsed="false">
      <c r="A4" s="8" t="s">
        <v>91</v>
      </c>
      <c r="B4" s="8" t="s">
        <v>4</v>
      </c>
      <c r="C4" s="8" t="s">
        <v>92</v>
      </c>
      <c r="D4" s="8" t="s">
        <v>93</v>
      </c>
      <c r="E4" s="8" t="s">
        <v>94</v>
      </c>
      <c r="F4" s="8" t="s">
        <v>95</v>
      </c>
      <c r="G4" s="8" t="s">
        <v>96</v>
      </c>
    </row>
    <row r="5" customFormat="false" ht="15.75" hidden="false" customHeight="true" outlineLevel="0" collapsed="false">
      <c r="A5" s="20" t="s">
        <v>97</v>
      </c>
      <c r="B5" s="20" t="n">
        <v>531</v>
      </c>
      <c r="C5" s="22" t="n">
        <v>1134672</v>
      </c>
      <c r="D5" s="21"/>
      <c r="E5" s="22" t="n">
        <f aca="false">SUM($C$5:C5)</f>
        <v>1134672</v>
      </c>
      <c r="F5" s="22"/>
      <c r="G5" s="22" t="n">
        <f aca="false">C5-AVERAGE($C$5:$C$14)</f>
        <v>134118.6</v>
      </c>
    </row>
    <row r="6" customFormat="false" ht="15.75" hidden="false" customHeight="true" outlineLevel="0" collapsed="false">
      <c r="A6" s="16" t="s">
        <v>98</v>
      </c>
      <c r="B6" s="16" t="n">
        <v>285</v>
      </c>
      <c r="C6" s="15" t="n">
        <v>721932</v>
      </c>
      <c r="D6" s="14" t="n">
        <f aca="false">(C6-C5)/C5</f>
        <v>-0.363752696814586</v>
      </c>
      <c r="E6" s="15" t="n">
        <f aca="false">SUM($C$5:C6)</f>
        <v>1856604</v>
      </c>
      <c r="F6" s="15"/>
      <c r="G6" s="15" t="n">
        <f aca="false">C6-AVERAGE($C$5:$C$14)</f>
        <v>-278621.4</v>
      </c>
    </row>
    <row r="7" customFormat="false" ht="15.75" hidden="false" customHeight="true" outlineLevel="0" collapsed="false">
      <c r="A7" s="20" t="s">
        <v>99</v>
      </c>
      <c r="B7" s="20" t="n">
        <v>438</v>
      </c>
      <c r="C7" s="22" t="n">
        <v>1025713</v>
      </c>
      <c r="D7" s="21" t="n">
        <f aca="false">(C7-C6)/C6</f>
        <v>0.420788938570392</v>
      </c>
      <c r="E7" s="22" t="n">
        <f aca="false">SUM($C$5:C7)</f>
        <v>2882317</v>
      </c>
      <c r="F7" s="22" t="n">
        <f aca="false">AVERAGE(C5:C7)</f>
        <v>960772.333333333</v>
      </c>
      <c r="G7" s="22" t="n">
        <f aca="false">C7-AVERAGE($C$5:$C$14)</f>
        <v>25159.6</v>
      </c>
    </row>
    <row r="8" customFormat="false" ht="15.75" hidden="false" customHeight="true" outlineLevel="0" collapsed="false">
      <c r="A8" s="16" t="s">
        <v>100</v>
      </c>
      <c r="B8" s="16" t="n">
        <v>531</v>
      </c>
      <c r="C8" s="15" t="n">
        <v>1338466</v>
      </c>
      <c r="D8" s="14" t="n">
        <f aca="false">(C8-C7)/C7</f>
        <v>0.304912777745822</v>
      </c>
      <c r="E8" s="15" t="n">
        <f aca="false">SUM($C$5:C8)</f>
        <v>4220783</v>
      </c>
      <c r="F8" s="15" t="n">
        <f aca="false">AVERAGE(C6:C8)</f>
        <v>1028703.66666667</v>
      </c>
      <c r="G8" s="15" t="n">
        <f aca="false">C8-AVERAGE($C$5:$C$14)</f>
        <v>337912.6</v>
      </c>
    </row>
    <row r="9" customFormat="false" ht="15.75" hidden="false" customHeight="true" outlineLevel="0" collapsed="false">
      <c r="A9" s="20" t="s">
        <v>101</v>
      </c>
      <c r="B9" s="20" t="n">
        <v>308</v>
      </c>
      <c r="C9" s="22" t="n">
        <v>696932</v>
      </c>
      <c r="D9" s="21" t="n">
        <f aca="false">(C9-C8)/C8</f>
        <v>-0.47930541380954</v>
      </c>
      <c r="E9" s="22" t="n">
        <f aca="false">SUM($C$5:C9)</f>
        <v>4917715</v>
      </c>
      <c r="F9" s="22" t="n">
        <f aca="false">AVERAGE(C7:C9)</f>
        <v>1020370.33333333</v>
      </c>
      <c r="G9" s="22" t="n">
        <f aca="false">C9-AVERAGE($C$5:$C$14)</f>
        <v>-303621.4</v>
      </c>
    </row>
    <row r="10" customFormat="false" ht="15.75" hidden="false" customHeight="true" outlineLevel="0" collapsed="false">
      <c r="A10" s="16" t="s">
        <v>102</v>
      </c>
      <c r="B10" s="16" t="n">
        <v>446</v>
      </c>
      <c r="C10" s="15" t="n">
        <v>1050059</v>
      </c>
      <c r="D10" s="14" t="n">
        <f aca="false">(C10-C9)/C9</f>
        <v>0.506687883466393</v>
      </c>
      <c r="E10" s="15" t="n">
        <f aca="false">SUM($C$5:C10)</f>
        <v>5967774</v>
      </c>
      <c r="F10" s="15" t="n">
        <f aca="false">AVERAGE(C8:C10)</f>
        <v>1028485.66666667</v>
      </c>
      <c r="G10" s="15" t="n">
        <f aca="false">C10-AVERAGE($C$5:$C$14)</f>
        <v>49505.6</v>
      </c>
    </row>
    <row r="11" customFormat="false" ht="15.75" hidden="false" customHeight="true" outlineLevel="0" collapsed="false">
      <c r="A11" s="20" t="s">
        <v>103</v>
      </c>
      <c r="B11" s="20" t="n">
        <v>503</v>
      </c>
      <c r="C11" s="22" t="n">
        <v>1235264</v>
      </c>
      <c r="D11" s="21" t="n">
        <f aca="false">(C11-C10)/C10</f>
        <v>0.176375803645319</v>
      </c>
      <c r="E11" s="22" t="n">
        <f aca="false">SUM($C$5:C11)</f>
        <v>7203038</v>
      </c>
      <c r="F11" s="22" t="n">
        <f aca="false">AVERAGE(C9:C11)</f>
        <v>994085</v>
      </c>
      <c r="G11" s="22" t="n">
        <f aca="false">C11-AVERAGE($C$5:$C$14)</f>
        <v>234710.6</v>
      </c>
    </row>
    <row r="12" customFormat="false" ht="15.75" hidden="false" customHeight="true" outlineLevel="0" collapsed="false">
      <c r="A12" s="16" t="s">
        <v>104</v>
      </c>
      <c r="B12" s="16" t="n">
        <v>279</v>
      </c>
      <c r="C12" s="15" t="n">
        <v>731980</v>
      </c>
      <c r="D12" s="14" t="n">
        <f aca="false">(C12-C11)/C11</f>
        <v>-0.407430314491477</v>
      </c>
      <c r="E12" s="15" t="n">
        <f aca="false">SUM($C$5:C12)</f>
        <v>7935018</v>
      </c>
      <c r="F12" s="15" t="n">
        <f aca="false">AVERAGE(C10:C12)</f>
        <v>1005767.66666667</v>
      </c>
      <c r="G12" s="15" t="n">
        <f aca="false">C12-AVERAGE($C$5:$C$14)</f>
        <v>-268573.4</v>
      </c>
    </row>
    <row r="13" customFormat="false" ht="15.75" hidden="false" customHeight="true" outlineLevel="0" collapsed="false">
      <c r="A13" s="20" t="s">
        <v>105</v>
      </c>
      <c r="B13" s="20" t="n">
        <v>406</v>
      </c>
      <c r="C13" s="22" t="n">
        <v>938943</v>
      </c>
      <c r="D13" s="21" t="n">
        <f aca="false">(C13-C12)/C12</f>
        <v>0.282744064045466</v>
      </c>
      <c r="E13" s="22" t="n">
        <f aca="false">SUM($C$5:C13)</f>
        <v>8873961</v>
      </c>
      <c r="F13" s="22" t="n">
        <f aca="false">AVERAGE(C11:C13)</f>
        <v>968729</v>
      </c>
      <c r="G13" s="22" t="n">
        <f aca="false">C13-AVERAGE($C$5:$C$14)</f>
        <v>-61610.4</v>
      </c>
    </row>
    <row r="14" customFormat="false" ht="15.75" hidden="false" customHeight="true" outlineLevel="0" collapsed="false">
      <c r="A14" s="16" t="s">
        <v>106</v>
      </c>
      <c r="B14" s="16" t="n">
        <v>511</v>
      </c>
      <c r="C14" s="15" t="n">
        <v>1131573</v>
      </c>
      <c r="D14" s="14" t="n">
        <f aca="false">(C14-C13)/C13</f>
        <v>0.205156223540726</v>
      </c>
      <c r="E14" s="15" t="n">
        <f aca="false">SUM($C$5:C14)</f>
        <v>10005534</v>
      </c>
      <c r="F14" s="15" t="n">
        <f aca="false">AVERAGE(C12:C14)</f>
        <v>934165.333333333</v>
      </c>
      <c r="G14" s="15" t="n">
        <f aca="false">C14-AVERAGE($C$5:$C$14)</f>
        <v>131019.6</v>
      </c>
    </row>
    <row r="15" customFormat="false" ht="18" hidden="false" customHeight="true" outlineLevel="0" collapsed="false">
      <c r="A15" s="23" t="s">
        <v>107</v>
      </c>
      <c r="B15" s="23" t="n">
        <f aca="false">SUM(B5:B14)</f>
        <v>4238</v>
      </c>
      <c r="C15" s="25" t="n">
        <f aca="false">SUM(C5:C14)</f>
        <v>10005534</v>
      </c>
      <c r="D15" s="24" t="n">
        <f aca="false">AVERAGE(D6:D14)</f>
        <v>0.0717974739887237</v>
      </c>
      <c r="E15" s="23"/>
      <c r="F15" s="25" t="n">
        <f aca="false">AVERAGE(C5:C14)</f>
        <v>1000553.4</v>
      </c>
      <c r="G15" s="23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28"/>
    <col collapsed="false" customWidth="true" hidden="false" outlineLevel="0" max="6" min="6" style="0" width="32"/>
    <col collapsed="false" customWidth="true" hidden="false" outlineLevel="0" max="8" min="7" style="0" width="10"/>
  </cols>
  <sheetData>
    <row r="1" customFormat="false" ht="33.75" hidden="false" customHeight="true" outlineLevel="0" collapsed="false">
      <c r="A1" s="30" t="s">
        <v>108</v>
      </c>
      <c r="B1" s="30"/>
      <c r="C1" s="30"/>
      <c r="D1" s="30"/>
      <c r="E1" s="30"/>
      <c r="F1" s="30"/>
      <c r="G1" s="30"/>
      <c r="H1" s="30"/>
    </row>
    <row r="2" customFormat="false" ht="13.5" hidden="false" customHeight="true" outlineLevel="0" collapsed="false">
      <c r="A2" s="18" t="s">
        <v>109</v>
      </c>
      <c r="B2" s="18"/>
      <c r="C2" s="18"/>
      <c r="D2" s="18"/>
      <c r="E2" s="18"/>
      <c r="F2" s="18"/>
      <c r="G2" s="18"/>
      <c r="H2" s="18"/>
    </row>
    <row r="3" customFormat="false" ht="7.5" hidden="false" customHeight="true" outlineLevel="0" collapsed="false"/>
    <row r="4" customFormat="false" ht="19.5" hidden="false" customHeight="true" outlineLevel="0" collapsed="false">
      <c r="A4" s="31" t="s">
        <v>110</v>
      </c>
      <c r="B4" s="31"/>
      <c r="C4" s="31"/>
      <c r="D4" s="31"/>
      <c r="E4" s="31"/>
      <c r="F4" s="31"/>
      <c r="G4" s="31"/>
      <c r="H4" s="31"/>
    </row>
    <row r="5" customFormat="false" ht="16.5" hidden="false" customHeight="true" outlineLevel="0" collapsed="false">
      <c r="A5" s="5" t="s">
        <v>111</v>
      </c>
      <c r="B5" s="5" t="s">
        <v>112</v>
      </c>
      <c r="C5" s="5" t="s">
        <v>113</v>
      </c>
      <c r="D5" s="5" t="s">
        <v>114</v>
      </c>
      <c r="E5" s="5" t="s">
        <v>115</v>
      </c>
      <c r="F5" s="5" t="s">
        <v>116</v>
      </c>
      <c r="G5" s="5" t="s">
        <v>117</v>
      </c>
      <c r="H5" s="5" t="s">
        <v>118</v>
      </c>
    </row>
    <row r="6" customFormat="false" ht="27.75" hidden="false" customHeight="true" outlineLevel="0" collapsed="false">
      <c r="A6" s="32" t="s">
        <v>119</v>
      </c>
      <c r="B6" s="20" t="n">
        <v>8800</v>
      </c>
      <c r="C6" s="20" t="n">
        <v>8</v>
      </c>
      <c r="D6" s="32" t="s">
        <v>120</v>
      </c>
      <c r="E6" s="32" t="s">
        <v>121</v>
      </c>
      <c r="F6" s="32" t="s">
        <v>122</v>
      </c>
      <c r="G6" s="32" t="s">
        <v>123</v>
      </c>
      <c r="H6" s="33" t="s">
        <v>124</v>
      </c>
    </row>
    <row r="7" customFormat="false" ht="27.75" hidden="false" customHeight="true" outlineLevel="0" collapsed="false">
      <c r="A7" s="34" t="s">
        <v>125</v>
      </c>
      <c r="B7" s="16" t="n">
        <v>85</v>
      </c>
      <c r="C7" s="16" t="n">
        <v>7</v>
      </c>
      <c r="D7" s="34" t="s">
        <v>126</v>
      </c>
      <c r="E7" s="34" t="s">
        <v>127</v>
      </c>
      <c r="F7" s="34" t="s">
        <v>128</v>
      </c>
      <c r="G7" s="34" t="s">
        <v>129</v>
      </c>
      <c r="H7" s="33" t="s">
        <v>124</v>
      </c>
    </row>
    <row r="8" customFormat="false" ht="27.75" hidden="false" customHeight="true" outlineLevel="0" collapsed="false">
      <c r="A8" s="32" t="s">
        <v>130</v>
      </c>
      <c r="B8" s="20" t="n">
        <v>7</v>
      </c>
      <c r="C8" s="20" t="n">
        <v>3</v>
      </c>
      <c r="D8" s="32" t="s">
        <v>131</v>
      </c>
      <c r="E8" s="32" t="s">
        <v>132</v>
      </c>
      <c r="F8" s="32" t="s">
        <v>133</v>
      </c>
      <c r="G8" s="32" t="s">
        <v>129</v>
      </c>
      <c r="H8" s="33" t="s">
        <v>124</v>
      </c>
    </row>
    <row r="9" customFormat="false" ht="27.75" hidden="false" customHeight="true" outlineLevel="0" collapsed="false">
      <c r="A9" s="34" t="s">
        <v>134</v>
      </c>
      <c r="B9" s="16" t="n">
        <v>35</v>
      </c>
      <c r="C9" s="16" t="n">
        <v>3</v>
      </c>
      <c r="D9" s="34" t="s">
        <v>135</v>
      </c>
      <c r="E9" s="34" t="s">
        <v>136</v>
      </c>
      <c r="F9" s="34" t="s">
        <v>133</v>
      </c>
      <c r="G9" s="34" t="s">
        <v>129</v>
      </c>
      <c r="H9" s="33" t="s">
        <v>124</v>
      </c>
    </row>
    <row r="10" customFormat="false" ht="27.75" hidden="false" customHeight="true" outlineLevel="0" collapsed="false">
      <c r="A10" s="32" t="s">
        <v>137</v>
      </c>
      <c r="B10" s="20" t="n">
        <v>21</v>
      </c>
      <c r="C10" s="20" t="n">
        <v>3</v>
      </c>
      <c r="D10" s="32" t="s">
        <v>138</v>
      </c>
      <c r="E10" s="32" t="s">
        <v>139</v>
      </c>
      <c r="F10" s="32" t="s">
        <v>133</v>
      </c>
      <c r="G10" s="32" t="s">
        <v>138</v>
      </c>
      <c r="H10" s="35" t="s">
        <v>140</v>
      </c>
    </row>
    <row r="11" customFormat="false" ht="7.5" hidden="false" customHeight="true" outlineLevel="0" collapsed="false"/>
    <row r="12" customFormat="false" ht="19.5" hidden="false" customHeight="true" outlineLevel="0" collapsed="false">
      <c r="A12" s="31" t="s">
        <v>141</v>
      </c>
      <c r="B12" s="31"/>
      <c r="C12" s="31"/>
      <c r="D12" s="31"/>
      <c r="E12" s="31"/>
      <c r="F12" s="31"/>
      <c r="G12" s="31"/>
      <c r="H12" s="31"/>
    </row>
    <row r="13" customFormat="false" ht="16.5" hidden="false" customHeight="true" outlineLevel="0" collapsed="false">
      <c r="A13" s="5" t="s">
        <v>142</v>
      </c>
      <c r="B13" s="5" t="s">
        <v>111</v>
      </c>
      <c r="C13" s="5" t="s">
        <v>143</v>
      </c>
      <c r="D13" s="5" t="s">
        <v>144</v>
      </c>
      <c r="E13" s="5" t="s">
        <v>145</v>
      </c>
      <c r="F13" s="5" t="s">
        <v>146</v>
      </c>
      <c r="G13" s="5" t="s">
        <v>147</v>
      </c>
      <c r="H13" s="5" t="s">
        <v>148</v>
      </c>
    </row>
    <row r="14" customFormat="false" ht="31.5" hidden="false" customHeight="true" outlineLevel="0" collapsed="false">
      <c r="A14" s="36" t="n">
        <v>1</v>
      </c>
      <c r="B14" s="32" t="s">
        <v>119</v>
      </c>
      <c r="C14" s="32" t="s">
        <v>131</v>
      </c>
      <c r="D14" s="32" t="s">
        <v>149</v>
      </c>
      <c r="E14" s="32" t="s">
        <v>150</v>
      </c>
      <c r="F14" s="36" t="n">
        <v>1480</v>
      </c>
      <c r="G14" s="37" t="s">
        <v>151</v>
      </c>
      <c r="H14" s="38" t="s">
        <v>152</v>
      </c>
    </row>
    <row r="15" customFormat="false" ht="31.5" hidden="false" customHeight="true" outlineLevel="0" collapsed="false">
      <c r="A15" s="39" t="n">
        <v>2</v>
      </c>
      <c r="B15" s="34" t="s">
        <v>119</v>
      </c>
      <c r="C15" s="34" t="s">
        <v>126</v>
      </c>
      <c r="D15" s="34" t="s">
        <v>153</v>
      </c>
      <c r="E15" s="34" t="s">
        <v>154</v>
      </c>
      <c r="F15" s="39" t="n">
        <v>1425</v>
      </c>
      <c r="G15" s="40" t="s">
        <v>155</v>
      </c>
      <c r="H15" s="41" t="s">
        <v>156</v>
      </c>
    </row>
    <row r="16" customFormat="false" ht="31.5" hidden="false" customHeight="true" outlineLevel="0" collapsed="false">
      <c r="A16" s="36" t="n">
        <v>3</v>
      </c>
      <c r="B16" s="32" t="s">
        <v>119</v>
      </c>
      <c r="C16" s="32" t="s">
        <v>157</v>
      </c>
      <c r="D16" s="32" t="s">
        <v>153</v>
      </c>
      <c r="E16" s="32" t="s">
        <v>158</v>
      </c>
      <c r="F16" s="36" t="n">
        <v>500</v>
      </c>
      <c r="G16" s="33" t="s">
        <v>159</v>
      </c>
      <c r="H16" s="38" t="s">
        <v>160</v>
      </c>
    </row>
    <row r="17" customFormat="false" ht="31.5" hidden="false" customHeight="true" outlineLevel="0" collapsed="false">
      <c r="A17" s="39" t="n">
        <v>4</v>
      </c>
      <c r="B17" s="34" t="s">
        <v>119</v>
      </c>
      <c r="C17" s="34" t="s">
        <v>161</v>
      </c>
      <c r="D17" s="34" t="s">
        <v>162</v>
      </c>
      <c r="E17" s="34" t="s">
        <v>163</v>
      </c>
      <c r="F17" s="39" t="n">
        <v>2089</v>
      </c>
      <c r="G17" s="33" t="s">
        <v>159</v>
      </c>
      <c r="H17" s="41" t="s">
        <v>164</v>
      </c>
    </row>
    <row r="18" customFormat="false" ht="31.5" hidden="false" customHeight="true" outlineLevel="0" collapsed="false">
      <c r="A18" s="36" t="n">
        <v>5</v>
      </c>
      <c r="B18" s="32" t="s">
        <v>125</v>
      </c>
      <c r="C18" s="32" t="s">
        <v>165</v>
      </c>
      <c r="D18" s="32" t="s">
        <v>166</v>
      </c>
      <c r="E18" s="32" t="s">
        <v>167</v>
      </c>
      <c r="F18" s="36" t="n">
        <v>5</v>
      </c>
      <c r="G18" s="33" t="s">
        <v>159</v>
      </c>
      <c r="H18" s="38" t="s">
        <v>168</v>
      </c>
    </row>
    <row r="19" customFormat="false" ht="31.5" hidden="false" customHeight="true" outlineLevel="0" collapsed="false">
      <c r="A19" s="39" t="n">
        <v>6</v>
      </c>
      <c r="B19" s="34" t="s">
        <v>125</v>
      </c>
      <c r="C19" s="34" t="s">
        <v>169</v>
      </c>
      <c r="D19" s="34" t="s">
        <v>153</v>
      </c>
      <c r="E19" s="34" t="s">
        <v>170</v>
      </c>
      <c r="F19" s="39" t="n">
        <v>70</v>
      </c>
      <c r="G19" s="33" t="s">
        <v>159</v>
      </c>
      <c r="H19" s="41" t="s">
        <v>171</v>
      </c>
    </row>
    <row r="20" customFormat="false" ht="31.5" hidden="false" customHeight="true" outlineLevel="0" collapsed="false">
      <c r="A20" s="36" t="n">
        <v>7</v>
      </c>
      <c r="B20" s="32" t="s">
        <v>125</v>
      </c>
      <c r="C20" s="32" t="s">
        <v>172</v>
      </c>
      <c r="D20" s="32" t="s">
        <v>173</v>
      </c>
      <c r="E20" s="32" t="s">
        <v>174</v>
      </c>
      <c r="F20" s="36" t="n">
        <v>14</v>
      </c>
      <c r="G20" s="35" t="s">
        <v>175</v>
      </c>
      <c r="H20" s="38" t="s">
        <v>176</v>
      </c>
    </row>
    <row r="21" customFormat="false" ht="31.5" hidden="false" customHeight="true" outlineLevel="0" collapsed="false">
      <c r="A21" s="39" t="n">
        <v>8</v>
      </c>
      <c r="B21" s="34" t="s">
        <v>134</v>
      </c>
      <c r="C21" s="34" t="s">
        <v>135</v>
      </c>
      <c r="D21" s="34" t="s">
        <v>177</v>
      </c>
      <c r="E21" s="34" t="s">
        <v>178</v>
      </c>
      <c r="F21" s="39" t="n">
        <v>5</v>
      </c>
      <c r="G21" s="35" t="s">
        <v>175</v>
      </c>
      <c r="H21" s="41" t="s">
        <v>179</v>
      </c>
    </row>
    <row r="22" customFormat="false" ht="7.5" hidden="false" customHeight="true" outlineLevel="0" collapsed="false"/>
    <row r="23" customFormat="false" ht="19.5" hidden="false" customHeight="true" outlineLevel="0" collapsed="false">
      <c r="A23" s="31" t="s">
        <v>180</v>
      </c>
      <c r="B23" s="31"/>
      <c r="C23" s="31"/>
      <c r="D23" s="31"/>
      <c r="E23" s="31"/>
      <c r="F23" s="31"/>
      <c r="G23" s="31"/>
      <c r="H23" s="31"/>
    </row>
    <row r="24" customFormat="false" ht="16.5" hidden="false" customHeight="true" outlineLevel="0" collapsed="false">
      <c r="A24" s="5" t="s">
        <v>181</v>
      </c>
      <c r="B24" s="5" t="s">
        <v>182</v>
      </c>
      <c r="C24" s="5" t="s">
        <v>183</v>
      </c>
      <c r="D24" s="5" t="s">
        <v>184</v>
      </c>
      <c r="E24" s="5" t="s">
        <v>185</v>
      </c>
      <c r="F24" s="5" t="s">
        <v>186</v>
      </c>
      <c r="G24" s="5"/>
      <c r="H24" s="5"/>
    </row>
    <row r="25" customFormat="false" ht="27.75" hidden="false" customHeight="true" outlineLevel="0" collapsed="false">
      <c r="A25" s="36" t="n">
        <v>1</v>
      </c>
      <c r="B25" s="32" t="s">
        <v>187</v>
      </c>
      <c r="C25" s="32" t="s">
        <v>188</v>
      </c>
      <c r="D25" s="32" t="s">
        <v>189</v>
      </c>
      <c r="E25" s="42" t="s">
        <v>190</v>
      </c>
      <c r="F25" s="32" t="s">
        <v>129</v>
      </c>
      <c r="G25" s="32"/>
      <c r="H25" s="32"/>
    </row>
    <row r="26" customFormat="false" ht="27.75" hidden="false" customHeight="true" outlineLevel="0" collapsed="false">
      <c r="A26" s="39" t="n">
        <v>2</v>
      </c>
      <c r="B26" s="34" t="s">
        <v>191</v>
      </c>
      <c r="C26" s="34" t="s">
        <v>192</v>
      </c>
      <c r="D26" s="34" t="s">
        <v>193</v>
      </c>
      <c r="E26" s="43" t="s">
        <v>194</v>
      </c>
      <c r="F26" s="34" t="s">
        <v>129</v>
      </c>
      <c r="G26" s="34"/>
      <c r="H26" s="34"/>
    </row>
    <row r="27" customFormat="false" ht="27.75" hidden="false" customHeight="true" outlineLevel="0" collapsed="false">
      <c r="A27" s="36" t="n">
        <v>3</v>
      </c>
      <c r="B27" s="32" t="s">
        <v>195</v>
      </c>
      <c r="C27" s="32" t="s">
        <v>131</v>
      </c>
      <c r="D27" s="32" t="s">
        <v>196</v>
      </c>
      <c r="E27" s="42" t="s">
        <v>197</v>
      </c>
      <c r="F27" s="32" t="s">
        <v>129</v>
      </c>
      <c r="G27" s="32"/>
      <c r="H27" s="32"/>
    </row>
    <row r="28" customFormat="false" ht="27.75" hidden="false" customHeight="true" outlineLevel="0" collapsed="false">
      <c r="A28" s="39" t="n">
        <v>4</v>
      </c>
      <c r="B28" s="34" t="s">
        <v>198</v>
      </c>
      <c r="C28" s="34" t="s">
        <v>199</v>
      </c>
      <c r="D28" s="34" t="s">
        <v>200</v>
      </c>
      <c r="E28" s="43" t="s">
        <v>201</v>
      </c>
      <c r="F28" s="34" t="s">
        <v>129</v>
      </c>
      <c r="G28" s="34"/>
      <c r="H28" s="34"/>
    </row>
    <row r="29" customFormat="false" ht="27.75" hidden="false" customHeight="true" outlineLevel="0" collapsed="false">
      <c r="A29" s="36" t="n">
        <v>5</v>
      </c>
      <c r="B29" s="32" t="s">
        <v>198</v>
      </c>
      <c r="C29" s="32" t="s">
        <v>199</v>
      </c>
      <c r="D29" s="32" t="s">
        <v>202</v>
      </c>
      <c r="E29" s="42" t="s">
        <v>203</v>
      </c>
      <c r="F29" s="32" t="s">
        <v>129</v>
      </c>
      <c r="G29" s="32"/>
      <c r="H29" s="32"/>
    </row>
    <row r="30" customFormat="false" ht="27.75" hidden="false" customHeight="true" outlineLevel="0" collapsed="false">
      <c r="A30" s="39" t="n">
        <v>6</v>
      </c>
      <c r="B30" s="34" t="s">
        <v>198</v>
      </c>
      <c r="C30" s="34" t="s">
        <v>204</v>
      </c>
      <c r="D30" s="34" t="s">
        <v>205</v>
      </c>
      <c r="E30" s="43" t="s">
        <v>206</v>
      </c>
      <c r="F30" s="34" t="s">
        <v>129</v>
      </c>
      <c r="G30" s="34"/>
      <c r="H30" s="34"/>
    </row>
    <row r="31" customFormat="false" ht="27.75" hidden="false" customHeight="true" outlineLevel="0" collapsed="false">
      <c r="A31" s="36" t="n">
        <v>7</v>
      </c>
      <c r="B31" s="32" t="s">
        <v>207</v>
      </c>
      <c r="C31" s="32" t="s">
        <v>135</v>
      </c>
      <c r="D31" s="32" t="s">
        <v>208</v>
      </c>
      <c r="E31" s="42" t="s">
        <v>209</v>
      </c>
      <c r="F31" s="32" t="s">
        <v>210</v>
      </c>
      <c r="G31" s="32"/>
      <c r="H31" s="32"/>
    </row>
    <row r="32" customFormat="false" ht="27.75" hidden="false" customHeight="true" outlineLevel="0" collapsed="false">
      <c r="A32" s="39" t="n">
        <v>8</v>
      </c>
      <c r="B32" s="34" t="s">
        <v>207</v>
      </c>
      <c r="C32" s="34" t="s">
        <v>131</v>
      </c>
      <c r="D32" s="34" t="s">
        <v>211</v>
      </c>
      <c r="E32" s="43" t="s">
        <v>212</v>
      </c>
      <c r="F32" s="34" t="s">
        <v>213</v>
      </c>
      <c r="G32" s="34"/>
      <c r="H32" s="34"/>
    </row>
    <row r="33" customFormat="false" ht="27.75" hidden="false" customHeight="true" outlineLevel="0" collapsed="false">
      <c r="A33" s="36" t="n">
        <v>9</v>
      </c>
      <c r="B33" s="32" t="s">
        <v>214</v>
      </c>
      <c r="C33" s="32" t="s">
        <v>215</v>
      </c>
      <c r="D33" s="32" t="s">
        <v>216</v>
      </c>
      <c r="E33" s="42" t="s">
        <v>217</v>
      </c>
      <c r="F33" s="32" t="s">
        <v>129</v>
      </c>
      <c r="G33" s="32"/>
      <c r="H33" s="32"/>
    </row>
    <row r="34" customFormat="false" ht="27.75" hidden="false" customHeight="true" outlineLevel="0" collapsed="false">
      <c r="A34" s="39" t="n">
        <v>10</v>
      </c>
      <c r="B34" s="34" t="s">
        <v>218</v>
      </c>
      <c r="C34" s="34" t="s">
        <v>219</v>
      </c>
      <c r="D34" s="34" t="s">
        <v>220</v>
      </c>
      <c r="E34" s="43" t="s">
        <v>221</v>
      </c>
      <c r="F34" s="34" t="s">
        <v>129</v>
      </c>
      <c r="G34" s="34"/>
      <c r="H34" s="34"/>
    </row>
    <row r="35" customFormat="false" ht="27.75" hidden="false" customHeight="true" outlineLevel="0" collapsed="false">
      <c r="A35" s="36" t="n">
        <v>11</v>
      </c>
      <c r="B35" s="32" t="s">
        <v>218</v>
      </c>
      <c r="C35" s="32" t="s">
        <v>222</v>
      </c>
      <c r="D35" s="32" t="s">
        <v>223</v>
      </c>
      <c r="E35" s="42" t="s">
        <v>224</v>
      </c>
      <c r="F35" s="32" t="s">
        <v>129</v>
      </c>
      <c r="G35" s="32"/>
      <c r="H35" s="32"/>
    </row>
    <row r="36" customFormat="false" ht="27.75" hidden="false" customHeight="true" outlineLevel="0" collapsed="false">
      <c r="A36" s="39" t="n">
        <v>12</v>
      </c>
      <c r="B36" s="34" t="s">
        <v>225</v>
      </c>
      <c r="C36" s="34" t="s">
        <v>226</v>
      </c>
      <c r="D36" s="34" t="s">
        <v>227</v>
      </c>
      <c r="E36" s="43" t="s">
        <v>228</v>
      </c>
      <c r="F36" s="34" t="s">
        <v>229</v>
      </c>
      <c r="G36" s="34"/>
      <c r="H36" s="34"/>
    </row>
    <row r="37" customFormat="false" ht="7.5" hidden="false" customHeight="true" outlineLevel="0" collapsed="false"/>
    <row r="38" customFormat="false" ht="19.5" hidden="false" customHeight="true" outlineLevel="0" collapsed="false">
      <c r="A38" s="31" t="s">
        <v>230</v>
      </c>
      <c r="B38" s="31"/>
      <c r="C38" s="31"/>
      <c r="D38" s="31"/>
      <c r="E38" s="31"/>
      <c r="F38" s="31"/>
      <c r="G38" s="31"/>
      <c r="H38" s="31"/>
    </row>
    <row r="39" customFormat="false" ht="16.5" hidden="false" customHeight="true" outlineLevel="0" collapsed="false">
      <c r="A39" s="5" t="s">
        <v>143</v>
      </c>
      <c r="B39" s="5" t="s">
        <v>231</v>
      </c>
      <c r="C39" s="5" t="s">
        <v>232</v>
      </c>
      <c r="D39" s="5" t="s">
        <v>233</v>
      </c>
      <c r="E39" s="5" t="s">
        <v>234</v>
      </c>
      <c r="F39" s="5" t="s">
        <v>235</v>
      </c>
      <c r="G39" s="5"/>
      <c r="H39" s="5"/>
    </row>
    <row r="40" customFormat="false" ht="15.75" hidden="false" customHeight="true" outlineLevel="0" collapsed="false">
      <c r="A40" s="19" t="s">
        <v>120</v>
      </c>
      <c r="B40" s="44" t="s">
        <v>129</v>
      </c>
      <c r="C40" s="19" t="s">
        <v>236</v>
      </c>
      <c r="D40" s="20" t="n">
        <v>0</v>
      </c>
      <c r="E40" s="19" t="s">
        <v>237</v>
      </c>
      <c r="F40" s="19" t="s">
        <v>238</v>
      </c>
      <c r="G40" s="19"/>
      <c r="H40" s="19"/>
    </row>
    <row r="41" customFormat="false" ht="15.75" hidden="false" customHeight="true" outlineLevel="0" collapsed="false">
      <c r="A41" s="13" t="s">
        <v>135</v>
      </c>
      <c r="B41" s="45" t="s">
        <v>129</v>
      </c>
      <c r="C41" s="13" t="s">
        <v>236</v>
      </c>
      <c r="D41" s="16" t="n">
        <v>0</v>
      </c>
      <c r="E41" s="13" t="s">
        <v>239</v>
      </c>
      <c r="F41" s="13"/>
      <c r="G41" s="13"/>
      <c r="H41" s="13"/>
    </row>
    <row r="42" customFormat="false" ht="15.75" hidden="false" customHeight="true" outlineLevel="0" collapsed="false">
      <c r="A42" s="19" t="s">
        <v>131</v>
      </c>
      <c r="B42" s="44" t="s">
        <v>129</v>
      </c>
      <c r="C42" s="19" t="s">
        <v>236</v>
      </c>
      <c r="D42" s="20" t="n">
        <v>0</v>
      </c>
      <c r="E42" s="19" t="s">
        <v>240</v>
      </c>
      <c r="F42" s="19" t="s">
        <v>241</v>
      </c>
      <c r="G42" s="19"/>
      <c r="H42" s="19"/>
    </row>
    <row r="43" customFormat="false" ht="15.75" hidden="false" customHeight="true" outlineLevel="0" collapsed="false">
      <c r="A43" s="13" t="s">
        <v>126</v>
      </c>
      <c r="B43" s="45" t="s">
        <v>129</v>
      </c>
      <c r="C43" s="13" t="s">
        <v>236</v>
      </c>
      <c r="D43" s="46" t="n">
        <v>1425</v>
      </c>
      <c r="E43" s="13" t="s">
        <v>242</v>
      </c>
      <c r="F43" s="13" t="s">
        <v>243</v>
      </c>
      <c r="G43" s="13"/>
      <c r="H43" s="13"/>
    </row>
    <row r="44" customFormat="false" ht="15.75" hidden="false" customHeight="true" outlineLevel="0" collapsed="false">
      <c r="A44" s="19" t="s">
        <v>199</v>
      </c>
      <c r="B44" s="44" t="s">
        <v>129</v>
      </c>
      <c r="C44" s="19" t="s">
        <v>236</v>
      </c>
      <c r="D44" s="20" t="n">
        <v>0</v>
      </c>
      <c r="E44" s="19" t="s">
        <v>239</v>
      </c>
      <c r="F44" s="19" t="s">
        <v>244</v>
      </c>
      <c r="G44" s="19"/>
      <c r="H44" s="19"/>
    </row>
    <row r="45" customFormat="false" ht="15.75" hidden="false" customHeight="true" outlineLevel="0" collapsed="false">
      <c r="A45" s="13" t="s">
        <v>157</v>
      </c>
      <c r="B45" s="45" t="s">
        <v>129</v>
      </c>
      <c r="C45" s="13" t="s">
        <v>189</v>
      </c>
      <c r="D45" s="46" t="n">
        <v>500</v>
      </c>
      <c r="E45" s="13" t="s">
        <v>245</v>
      </c>
      <c r="F45" s="13" t="s">
        <v>246</v>
      </c>
      <c r="G45" s="13"/>
      <c r="H45" s="13"/>
    </row>
    <row r="46" customFormat="false" ht="15.75" hidden="false" customHeight="true" outlineLevel="0" collapsed="false">
      <c r="A46" s="19" t="s">
        <v>215</v>
      </c>
      <c r="B46" s="44" t="s">
        <v>129</v>
      </c>
      <c r="C46" s="19" t="s">
        <v>189</v>
      </c>
      <c r="D46" s="46" t="n">
        <v>2089</v>
      </c>
      <c r="E46" s="19" t="s">
        <v>247</v>
      </c>
      <c r="F46" s="19" t="s">
        <v>248</v>
      </c>
      <c r="G46" s="19"/>
      <c r="H46" s="19"/>
    </row>
    <row r="47" customFormat="false" ht="15.75" hidden="false" customHeight="true" outlineLevel="0" collapsed="false">
      <c r="A47" s="13" t="s">
        <v>249</v>
      </c>
      <c r="B47" s="45" t="s">
        <v>129</v>
      </c>
      <c r="C47" s="13" t="s">
        <v>250</v>
      </c>
      <c r="D47" s="46" t="n">
        <v>2089</v>
      </c>
      <c r="E47" s="13" t="s">
        <v>251</v>
      </c>
      <c r="F47" s="13" t="s">
        <v>252</v>
      </c>
      <c r="G47" s="13"/>
      <c r="H47" s="13"/>
    </row>
    <row r="48" customFormat="false" ht="15.75" hidden="false" customHeight="true" outlineLevel="0" collapsed="false">
      <c r="A48" s="19" t="s">
        <v>193</v>
      </c>
      <c r="B48" s="47" t="s">
        <v>253</v>
      </c>
      <c r="C48" s="19" t="s">
        <v>254</v>
      </c>
      <c r="D48" s="46" t="n">
        <v>2089</v>
      </c>
      <c r="E48" s="19" t="s">
        <v>255</v>
      </c>
      <c r="F48" s="19" t="s">
        <v>256</v>
      </c>
      <c r="G48" s="19"/>
      <c r="H48" s="19"/>
    </row>
    <row r="49" customFormat="false" ht="15.75" hidden="false" customHeight="true" outlineLevel="0" collapsed="false">
      <c r="A49" s="13" t="s">
        <v>200</v>
      </c>
      <c r="B49" s="48" t="s">
        <v>253</v>
      </c>
      <c r="C49" s="13" t="s">
        <v>257</v>
      </c>
      <c r="D49" s="16" t="n">
        <v>0</v>
      </c>
      <c r="E49" s="13" t="s">
        <v>258</v>
      </c>
      <c r="F49" s="13"/>
      <c r="G49" s="13"/>
      <c r="H49" s="13"/>
    </row>
    <row r="50" customFormat="false" ht="15.75" hidden="false" customHeight="true" outlineLevel="0" collapsed="false">
      <c r="A50" s="19" t="s">
        <v>202</v>
      </c>
      <c r="B50" s="47" t="s">
        <v>253</v>
      </c>
      <c r="C50" s="19" t="s">
        <v>257</v>
      </c>
      <c r="D50" s="20" t="n">
        <v>0</v>
      </c>
      <c r="E50" s="19" t="s">
        <v>259</v>
      </c>
      <c r="F50" s="19"/>
      <c r="G50" s="19"/>
      <c r="H50" s="19"/>
    </row>
    <row r="51" customFormat="false" ht="15.75" hidden="false" customHeight="true" outlineLevel="0" collapsed="false">
      <c r="A51" s="13" t="s">
        <v>205</v>
      </c>
      <c r="B51" s="48" t="s">
        <v>253</v>
      </c>
      <c r="C51" s="13" t="s">
        <v>257</v>
      </c>
      <c r="D51" s="16" t="n">
        <v>0</v>
      </c>
      <c r="E51" s="13" t="s">
        <v>260</v>
      </c>
      <c r="F51" s="13"/>
      <c r="G51" s="13"/>
      <c r="H51" s="13"/>
    </row>
    <row r="52" customFormat="false" ht="15.75" hidden="false" customHeight="true" outlineLevel="0" collapsed="false">
      <c r="A52" s="19" t="s">
        <v>261</v>
      </c>
      <c r="B52" s="49" t="s">
        <v>262</v>
      </c>
      <c r="C52" s="19" t="s">
        <v>236</v>
      </c>
      <c r="D52" s="20" t="n">
        <v>0</v>
      </c>
      <c r="E52" s="19" t="s">
        <v>263</v>
      </c>
      <c r="F52" s="19" t="s">
        <v>264</v>
      </c>
      <c r="G52" s="19"/>
      <c r="H52" s="19"/>
    </row>
    <row r="53" customFormat="false" ht="15.75" hidden="false" customHeight="true" outlineLevel="0" collapsed="false">
      <c r="A53" s="13" t="s">
        <v>265</v>
      </c>
      <c r="B53" s="50" t="s">
        <v>262</v>
      </c>
      <c r="C53" s="13" t="s">
        <v>236</v>
      </c>
      <c r="D53" s="16" t="n">
        <v>0</v>
      </c>
      <c r="E53" s="13" t="s">
        <v>266</v>
      </c>
      <c r="F53" s="13"/>
      <c r="G53" s="13"/>
      <c r="H53" s="13"/>
    </row>
    <row r="54" customFormat="false" ht="15.75" hidden="false" customHeight="true" outlineLevel="0" collapsed="false">
      <c r="A54" s="19" t="s">
        <v>267</v>
      </c>
      <c r="B54" s="51" t="s">
        <v>268</v>
      </c>
      <c r="C54" s="19" t="s">
        <v>236</v>
      </c>
      <c r="D54" s="46" t="n">
        <v>1480</v>
      </c>
      <c r="E54" s="19" t="s">
        <v>240</v>
      </c>
      <c r="F54" s="19" t="s">
        <v>269</v>
      </c>
      <c r="G54" s="19"/>
      <c r="H54" s="19"/>
    </row>
    <row r="55" customFormat="false" ht="15.75" hidden="false" customHeight="true" outlineLevel="0" collapsed="false">
      <c r="A55" s="13" t="s">
        <v>270</v>
      </c>
      <c r="B55" s="52" t="s">
        <v>268</v>
      </c>
      <c r="C55" s="13" t="s">
        <v>250</v>
      </c>
      <c r="D55" s="46" t="n">
        <v>1480</v>
      </c>
      <c r="E55" s="13" t="s">
        <v>271</v>
      </c>
      <c r="F55" s="13" t="s">
        <v>272</v>
      </c>
      <c r="G55" s="13"/>
      <c r="H55" s="13"/>
    </row>
    <row r="56" customFormat="false" ht="15.75" hidden="false" customHeight="true" outlineLevel="0" collapsed="false">
      <c r="A56" s="19" t="s">
        <v>216</v>
      </c>
      <c r="B56" s="47" t="s">
        <v>253</v>
      </c>
      <c r="C56" s="19" t="s">
        <v>273</v>
      </c>
      <c r="D56" s="46" t="n">
        <v>2089</v>
      </c>
      <c r="E56" s="19" t="s">
        <v>274</v>
      </c>
      <c r="F56" s="19" t="s">
        <v>275</v>
      </c>
      <c r="G56" s="19"/>
      <c r="H56" s="19"/>
    </row>
  </sheetData>
  <mergeCells count="37">
    <mergeCell ref="A1:H1"/>
    <mergeCell ref="A2:H2"/>
    <mergeCell ref="A4:H4"/>
    <mergeCell ref="A12:H12"/>
    <mergeCell ref="A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A38:H38"/>
    <mergeCell ref="F39:H39"/>
    <mergeCell ref="F40:H40"/>
    <mergeCell ref="F41:H41"/>
    <mergeCell ref="F42:H42"/>
    <mergeCell ref="F43:H43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55:H55"/>
    <mergeCell ref="F56:H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2026-03-25T18:50:59Z</dcterms:created>
  <dc:creator>openpyxl</dc:creator>
  <dc:description/>
  <dc:language>en-US</dc:language>
  <cp:lastModifiedBy/>
  <dcterms:modified xsi:type="dcterms:W3CDTF">2026-03-25T18:59:11Z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